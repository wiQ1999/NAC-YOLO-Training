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WSB\Praca_Magisterska_2\Skrypty\NAC YOLO Training\"/>
    </mc:Choice>
  </mc:AlternateContent>
  <bookViews>
    <workbookView xWindow="0" yWindow="0" windowWidth="11955" windowHeight="10725" activeTab="3"/>
  </bookViews>
  <sheets>
    <sheet name="Wybrane obserwacje LROC NAC" sheetId="1" r:id="rId1"/>
    <sheet name="Obszar detekcji i skala" sheetId="2" r:id="rId2"/>
    <sheet name="Porównanie walidacji modeli" sheetId="5" r:id="rId3"/>
    <sheet name="Metryki na LQ w rozmiarach" sheetId="3" r:id="rId4"/>
  </sheets>
  <definedNames>
    <definedName name="creater_sizes" localSheetId="3">'Metryki na LQ w rozmiarach'!$A$4:$H$7</definedName>
    <definedName name="creater_sizes_1" localSheetId="3">'Metryki na LQ w rozmiarach'!$A$8:$H$10</definedName>
    <definedName name="creater_sizes_10" localSheetId="3">'Metryki na LQ w rozmiarach'!$U$30:$X$32</definedName>
    <definedName name="creater_sizes_11" localSheetId="3">'Metryki na LQ w rozmiarach'!$U$20:$X$20</definedName>
    <definedName name="creater_sizes_12" localSheetId="3">'Metryki na LQ w rozmiarach'!$U$21:$X$23</definedName>
    <definedName name="creater_sizes_13" localSheetId="3">'Metryki na LQ w rozmiarach'!$U$24:$X$26</definedName>
    <definedName name="creater_sizes_14" localSheetId="3">'Metryki na LQ w rozmiarach'!$U$27:$X$29</definedName>
    <definedName name="creater_sizes_2" localSheetId="3">'Metryki na LQ w rozmiarach'!$A$11:$H$13</definedName>
    <definedName name="creater_sizes_3" localSheetId="3">'Metryki na LQ w rozmiarach'!$A$14:$H$16</definedName>
    <definedName name="creater_sizes_4" localSheetId="3">'Metryki na LQ w rozmiarach'!$A$17:$H$19</definedName>
    <definedName name="creater_sizes_5" localSheetId="3">'Metryki na LQ w rozmiarach'!$T$14:$X$16</definedName>
    <definedName name="creater_sizes_6" localSheetId="3">'Metryki na LQ w rozmiarach'!$T$11:$X$13</definedName>
    <definedName name="creater_sizes_7" localSheetId="3">'Metryki na LQ w rozmiarach'!$T$8:$X$10</definedName>
    <definedName name="creater_sizes_8" localSheetId="3">'Metryki na LQ w rozmiarach'!$T$5:$X$7</definedName>
    <definedName name="creater_sizes_9" localSheetId="3">'Metryki na LQ w rozmiarach'!$T$4:$X$4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5" i="5" l="1"/>
  <c r="AI6" i="5"/>
  <c r="AI7" i="5"/>
  <c r="AI8" i="5"/>
  <c r="AI5" i="5"/>
  <c r="Z34" i="5"/>
  <c r="Z35" i="5"/>
  <c r="Z36" i="5"/>
  <c r="Z33" i="5"/>
  <c r="AI33" i="5"/>
  <c r="AI34" i="5"/>
  <c r="AI35" i="5"/>
  <c r="AI36" i="5"/>
  <c r="AK36" i="5"/>
  <c r="AM40" i="5" s="1"/>
  <c r="AK35" i="5"/>
  <c r="AK34" i="5"/>
  <c r="AM36" i="5" s="1"/>
  <c r="AK33" i="5"/>
  <c r="AM34" i="5" s="1"/>
  <c r="AJ36" i="5"/>
  <c r="AM39" i="5" s="1"/>
  <c r="AJ35" i="5"/>
  <c r="AJ34" i="5"/>
  <c r="AM35" i="5" s="1"/>
  <c r="AJ33" i="5"/>
  <c r="AM33" i="5" s="1"/>
  <c r="AL40" i="5"/>
  <c r="AL39" i="5"/>
  <c r="AM38" i="5"/>
  <c r="AL38" i="5"/>
  <c r="AM37" i="5"/>
  <c r="AL37" i="5"/>
  <c r="AL36" i="5"/>
  <c r="AL35" i="5"/>
  <c r="AL34" i="5"/>
  <c r="AL33" i="5"/>
  <c r="AM12" i="5"/>
  <c r="AL12" i="5"/>
  <c r="AM11" i="5"/>
  <c r="AL11" i="5"/>
  <c r="AM10" i="5"/>
  <c r="AL10" i="5"/>
  <c r="AM9" i="5"/>
  <c r="AL9" i="5"/>
  <c r="AM8" i="5"/>
  <c r="AL8" i="5"/>
  <c r="AM7" i="5"/>
  <c r="AL7" i="5"/>
  <c r="AM6" i="5"/>
  <c r="AL6" i="5"/>
  <c r="AM5" i="5"/>
  <c r="AL5" i="5"/>
  <c r="Z6" i="5"/>
  <c r="Z7" i="5"/>
  <c r="Z8" i="5"/>
  <c r="AD40" i="5"/>
  <c r="AC40" i="5"/>
  <c r="AD39" i="5"/>
  <c r="AC39" i="5"/>
  <c r="AD38" i="5"/>
  <c r="AC38" i="5"/>
  <c r="AD37" i="5"/>
  <c r="AC37" i="5"/>
  <c r="AD36" i="5"/>
  <c r="AC36" i="5"/>
  <c r="AD35" i="5"/>
  <c r="AC35" i="5"/>
  <c r="AD34" i="5"/>
  <c r="AC34" i="5"/>
  <c r="AD33" i="5"/>
  <c r="AC33" i="5"/>
  <c r="AC12" i="5"/>
  <c r="AC11" i="5"/>
  <c r="AC10" i="5"/>
  <c r="AC9" i="5"/>
  <c r="AC8" i="5"/>
  <c r="AC7" i="5"/>
  <c r="AC6" i="5"/>
  <c r="AD12" i="5"/>
  <c r="AD11" i="5"/>
  <c r="AD10" i="5"/>
  <c r="AD9" i="5"/>
  <c r="AD8" i="5"/>
  <c r="AD7" i="5"/>
  <c r="AD6" i="5"/>
  <c r="AD5" i="5"/>
  <c r="AC5" i="5"/>
  <c r="X22" i="3" l="1"/>
  <c r="V51" i="3" s="1"/>
  <c r="X23" i="3"/>
  <c r="W51" i="3" s="1"/>
  <c r="X24" i="3"/>
  <c r="U52" i="3" s="1"/>
  <c r="X25" i="3"/>
  <c r="V52" i="3" s="1"/>
  <c r="X26" i="3"/>
  <c r="W52" i="3" s="1"/>
  <c r="X27" i="3"/>
  <c r="U53" i="3" s="1"/>
  <c r="X28" i="3"/>
  <c r="V53" i="3" s="1"/>
  <c r="X29" i="3"/>
  <c r="W53" i="3" s="1"/>
  <c r="X30" i="3"/>
  <c r="U54" i="3" s="1"/>
  <c r="X31" i="3"/>
  <c r="V54" i="3" s="1"/>
  <c r="X32" i="3"/>
  <c r="W54" i="3" s="1"/>
  <c r="X21" i="3"/>
  <c r="U51" i="3" s="1"/>
  <c r="W22" i="3"/>
  <c r="V44" i="3" s="1"/>
  <c r="W23" i="3"/>
  <c r="W44" i="3" s="1"/>
  <c r="W24" i="3"/>
  <c r="U45" i="3" s="1"/>
  <c r="W25" i="3"/>
  <c r="V45" i="3" s="1"/>
  <c r="W26" i="3"/>
  <c r="W45" i="3" s="1"/>
  <c r="W27" i="3"/>
  <c r="U46" i="3" s="1"/>
  <c r="W28" i="3"/>
  <c r="V46" i="3" s="1"/>
  <c r="W29" i="3"/>
  <c r="W46" i="3" s="1"/>
  <c r="W30" i="3"/>
  <c r="U47" i="3" s="1"/>
  <c r="W31" i="3"/>
  <c r="V47" i="3" s="1"/>
  <c r="W32" i="3"/>
  <c r="W47" i="3" s="1"/>
  <c r="W21" i="3"/>
  <c r="U44" i="3" s="1"/>
  <c r="V22" i="3"/>
  <c r="V37" i="3" s="1"/>
  <c r="V23" i="3"/>
  <c r="V24" i="3"/>
  <c r="V25" i="3"/>
  <c r="V38" i="3" s="1"/>
  <c r="V26" i="3"/>
  <c r="W38" i="3" s="1"/>
  <c r="V27" i="3"/>
  <c r="U39" i="3" s="1"/>
  <c r="V28" i="3"/>
  <c r="V39" i="3" s="1"/>
  <c r="V29" i="3"/>
  <c r="W39" i="3" s="1"/>
  <c r="V30" i="3"/>
  <c r="U40" i="3" s="1"/>
  <c r="V31" i="3"/>
  <c r="V40" i="3" s="1"/>
  <c r="V32" i="3"/>
  <c r="W40" i="3" s="1"/>
  <c r="V21" i="3"/>
  <c r="U37" i="3" s="1"/>
  <c r="W37" i="3" l="1"/>
  <c r="U38" i="3"/>
  <c r="M6" i="5"/>
  <c r="U12" i="5" s="1"/>
  <c r="L6" i="5"/>
  <c r="T6" i="5" s="1"/>
  <c r="K6" i="5"/>
  <c r="S12" i="5" s="1"/>
  <c r="J6" i="5"/>
  <c r="R8" i="5" s="1"/>
  <c r="M5" i="5"/>
  <c r="U11" i="5" s="1"/>
  <c r="L5" i="5"/>
  <c r="T9" i="5" s="1"/>
  <c r="K5" i="5"/>
  <c r="S11" i="5" s="1"/>
  <c r="J5" i="5"/>
  <c r="R11" i="5" s="1"/>
  <c r="X6" i="3"/>
  <c r="X7" i="3"/>
  <c r="X8" i="3"/>
  <c r="X9" i="3"/>
  <c r="X10" i="3"/>
  <c r="X11" i="3"/>
  <c r="X12" i="3"/>
  <c r="X13" i="3"/>
  <c r="X14" i="3"/>
  <c r="X15" i="3"/>
  <c r="X16" i="3"/>
  <c r="X5" i="3"/>
  <c r="W6" i="3"/>
  <c r="W7" i="3"/>
  <c r="W8" i="3"/>
  <c r="W9" i="3"/>
  <c r="W10" i="3"/>
  <c r="W11" i="3"/>
  <c r="W12" i="3"/>
  <c r="W13" i="3"/>
  <c r="W14" i="3"/>
  <c r="W15" i="3"/>
  <c r="W16" i="3"/>
  <c r="W5" i="3"/>
  <c r="V6" i="3"/>
  <c r="V7" i="3"/>
  <c r="V8" i="3"/>
  <c r="V9" i="3"/>
  <c r="V10" i="3"/>
  <c r="V11" i="3"/>
  <c r="V12" i="3"/>
  <c r="V13" i="3"/>
  <c r="V14" i="3"/>
  <c r="V15" i="3"/>
  <c r="V16" i="3"/>
  <c r="V5" i="3"/>
  <c r="R10" i="5" l="1"/>
  <c r="T11" i="5"/>
  <c r="R12" i="5"/>
  <c r="T8" i="5"/>
  <c r="S6" i="5"/>
  <c r="U6" i="5"/>
  <c r="S7" i="5"/>
  <c r="R5" i="5"/>
  <c r="S9" i="5"/>
  <c r="U5" i="5"/>
  <c r="S5" i="5"/>
  <c r="T5" i="5"/>
  <c r="S8" i="5"/>
  <c r="U7" i="5"/>
  <c r="T10" i="5"/>
  <c r="T12" i="5"/>
  <c r="R6" i="5"/>
  <c r="S10" i="5"/>
  <c r="U9" i="5"/>
  <c r="R7" i="5"/>
  <c r="R9" i="5"/>
  <c r="U8" i="5"/>
  <c r="T7" i="5"/>
  <c r="U10" i="5"/>
  <c r="E5" i="2"/>
  <c r="E6" i="2"/>
  <c r="E7" i="2"/>
  <c r="E8" i="2"/>
  <c r="E9" i="2"/>
  <c r="E10" i="2"/>
  <c r="E11" i="2"/>
  <c r="E12" i="2"/>
  <c r="E13" i="2"/>
  <c r="E4" i="2"/>
  <c r="D4" i="2"/>
  <c r="D5" i="2"/>
  <c r="D6" i="2"/>
  <c r="D7" i="2"/>
  <c r="D8" i="2"/>
  <c r="D9" i="2"/>
  <c r="D11" i="2"/>
  <c r="D12" i="2"/>
  <c r="D13" i="2"/>
  <c r="D10" i="2"/>
  <c r="B13" i="2"/>
  <c r="B12" i="2"/>
  <c r="B11" i="2"/>
  <c r="B10" i="2"/>
  <c r="B9" i="2"/>
  <c r="B8" i="2"/>
  <c r="B7" i="2"/>
  <c r="B6" i="2"/>
  <c r="B5" i="2"/>
  <c r="B4" i="2"/>
  <c r="B25" i="2" l="1"/>
  <c r="B24" i="2"/>
  <c r="B21" i="2"/>
  <c r="B20" i="2"/>
  <c r="C4" i="2" l="1"/>
  <c r="C5" i="2"/>
  <c r="C6" i="2"/>
  <c r="C7" i="2"/>
  <c r="C8" i="2"/>
  <c r="C9" i="2"/>
  <c r="C10" i="2"/>
  <c r="C11" i="2"/>
  <c r="C12" i="2"/>
  <c r="C13" i="2"/>
</calcChain>
</file>

<file path=xl/connections.xml><?xml version="1.0" encoding="utf-8"?>
<connections xmlns="http://schemas.openxmlformats.org/spreadsheetml/2006/main">
  <connection id="1" name="creater_sizes" type="6" refreshedVersion="6" background="1" saveData="1">
    <textPr codePage="852" sourceFile="E:\WSB\Praca_Magisterska_2\Skrypty\NAC YOLO Training\runs\detect\val\300m_with_test_tuned_LQ\creater_sizes.csv" decimal="," thousands=" " tab="0" comma="1">
      <textFields count="8">
        <textField/>
        <textField/>
        <textField/>
        <textField/>
        <textField/>
        <textField/>
        <textField/>
        <textField/>
      </textFields>
    </textPr>
  </connection>
  <connection id="2" name="creater_sizes1" type="6" refreshedVersion="6" background="1" saveData="1">
    <textPr codePage="852" sourceFile="E:\WSB\Praca_Magisterska_2\Skrypty\NAC YOLO Training\runs\detect\val\300m_with_test_tuned_downsampling_LQ\creater_sizes.csv" decimal="," thousands=" " tab="0" comma="1">
      <textFields count="8">
        <textField/>
        <textField/>
        <textField/>
        <textField/>
        <textField/>
        <textField/>
        <textField/>
        <textField/>
      </textFields>
    </textPr>
  </connection>
  <connection id="3" name="creater_sizes11" type="6" refreshedVersion="6" background="1" saveData="1">
    <textPr codePage="852" sourceFile="E:\WSB\Praca_Magisterska_2\Skrypty\NAC YOLO Training\runs\detect\val\300m_with_test_tuned_downsampling_LQ\creater_sizes.csv" decimal="," thousands=" " tab="0" comma="1">
      <textFields count="8">
        <textField/>
        <textField/>
        <textField/>
        <textField/>
        <textField/>
        <textField/>
        <textField/>
        <textField/>
      </textFields>
    </textPr>
  </connection>
  <connection id="4" name="creater_sizes12" type="6" refreshedVersion="6" background="1" saveData="1">
    <textPr codePage="852" sourceFile="E:\WSB\Praca_Magisterska_2\Skrypty\NAC YOLO Training\runs\detect\val\300m_with_test_tuned_downsampling_LQ\creater_sizes.csv" decimal="," thousands=" " tab="0" comma="1">
      <textFields count="8">
        <textField/>
        <textField/>
        <textField/>
        <textField/>
        <textField/>
        <textField/>
        <textField/>
        <textField/>
      </textFields>
    </textPr>
  </connection>
  <connection id="5" name="creater_sizes121" type="6" refreshedVersion="6" background="1" saveData="1">
    <textPr codePage="852" sourceFile="E:\WSB\Praca_Magisterska_2\Skrypty\NAC YOLO Training\runs\detect\val\300m_with_test_tuned_downsampling_LQ\creater_sizes.csv" decimal="," thousands=" " tab="0" comma="1">
      <textFields count="8">
        <textField/>
        <textField/>
        <textField/>
        <textField/>
        <textField/>
        <textField/>
        <textField/>
        <textField/>
      </textFields>
    </textPr>
  </connection>
  <connection id="6" name="creater_sizes1211" type="6" refreshedVersion="6" background="1" saveData="1">
    <textPr codePage="852" sourceFile="E:\WSB\Praca_Magisterska_2\Skrypty\NAC YOLO Training\runs\detect\val\300m_with_test_tuned_downsampling_LQ\creater_sizes.csv" decimal="," thousands=" " tab="0" comma="1">
      <textFields count="8">
        <textField/>
        <textField/>
        <textField/>
        <textField/>
        <textField/>
        <textField/>
        <textField/>
        <textField/>
      </textFields>
    </textPr>
  </connection>
  <connection id="7" name="creater_sizes1212" type="6" refreshedVersion="6" background="1" saveData="1">
    <textPr codePage="852" sourceFile="E:\WSB\Praca_Magisterska_2\Skrypty\NAC YOLO Training\runs\detect\val\300m_with_test_tuned_downsampling_LQ\creater_sizes.csv" decimal="," thousands=" " tab="0" comma="1">
      <textFields count="8">
        <textField/>
        <textField/>
        <textField/>
        <textField/>
        <textField/>
        <textField/>
        <textField/>
        <textField/>
      </textFields>
    </textPr>
  </connection>
  <connection id="8" name="creater_sizes2" type="6" refreshedVersion="6" background="1" saveData="1">
    <textPr codePage="852" sourceFile="E:\WSB\Praca_Magisterska_2\Skrypty\NAC YOLO Training\runs\detect\val\300m_with_test_tuned_blur_LQ\creater_sizes.csv" decimal="," thousands=" " tab="0" comma="1">
      <textFields count="8">
        <textField/>
        <textField/>
        <textField/>
        <textField/>
        <textField/>
        <textField/>
        <textField/>
        <textField/>
      </textFields>
    </textPr>
  </connection>
  <connection id="9" name="creater_sizes21" type="6" refreshedVersion="6" background="1" saveData="1">
    <textPr codePage="852" sourceFile="E:\WSB\Praca_Magisterska_2\Skrypty\NAC YOLO Training\runs\detect\val\300m_with_test_tuned_blur_LQ\creater_sizes.csv" decimal="," thousands=" " tab="0" comma="1">
      <textFields count="8">
        <textField/>
        <textField/>
        <textField/>
        <textField/>
        <textField/>
        <textField/>
        <textField/>
        <textField/>
      </textFields>
    </textPr>
  </connection>
  <connection id="10" name="creater_sizes22" type="6" refreshedVersion="6" background="1" saveData="1">
    <textPr codePage="852" sourceFile="E:\WSB\Praca_Magisterska_2\Skrypty\NAC YOLO Training\runs\detect\val\300m_with_test_tuned_blur_LQ\creater_sizes.csv" decimal="," thousands=" " tab="0" comma="1">
      <textFields count="8">
        <textField/>
        <textField/>
        <textField/>
        <textField/>
        <textField/>
        <textField/>
        <textField/>
        <textField/>
      </textFields>
    </textPr>
  </connection>
  <connection id="11" name="creater_sizes221" type="6" refreshedVersion="6" background="1" saveData="1">
    <textPr codePage="852" sourceFile="E:\WSB\Praca_Magisterska_2\Skrypty\NAC YOLO Training\runs\detect\val\300m_with_test_tuned_blur_LQ\creater_sizes.csv" decimal="," thousands=" " tab="0" comma="1">
      <textFields count="8">
        <textField/>
        <textField/>
        <textField/>
        <textField/>
        <textField/>
        <textField/>
        <textField/>
        <textField/>
      </textFields>
    </textPr>
  </connection>
  <connection id="12" name="creater_sizes2211" type="6" refreshedVersion="6" background="1" saveData="1">
    <textPr codePage="852" sourceFile="E:\WSB\Praca_Magisterska_2\Skrypty\NAC YOLO Training\runs\detect\val\300m_with_test_tuned_blur_LQ\creater_sizes.csv" decimal="," thousands=" " tab="0" comma="1">
      <textFields count="8">
        <textField/>
        <textField/>
        <textField/>
        <textField/>
        <textField/>
        <textField/>
        <textField/>
        <textField/>
      </textFields>
    </textPr>
  </connection>
  <connection id="13" name="creater_sizes2212" type="6" refreshedVersion="6" background="1" saveData="1">
    <textPr codePage="852" sourceFile="E:\WSB\Praca_Magisterska_2\Skrypty\NAC YOLO Training\runs\detect\val\300m_with_test_tuned_blur_LQ\creater_sizes.csv" decimal="," thousands=" " tab="0" comma="1">
      <textFields count="8">
        <textField/>
        <textField/>
        <textField/>
        <textField/>
        <textField/>
        <textField/>
        <textField/>
        <textField/>
      </textFields>
    </textPr>
  </connection>
  <connection id="14" name="creater_sizes3" type="6" refreshedVersion="6" background="1" saveData="1">
    <textPr codePage="852" sourceFile="E:\WSB\Praca_Magisterska_2\Skrypty\NAC YOLO Training\runs\detect\val\300m_with_test_tuned_summation_LQ\creater_sizes.csv" decimal="," thousands=" " tab="0" comma="1">
      <textFields count="8">
        <textField/>
        <textField/>
        <textField/>
        <textField/>
        <textField/>
        <textField/>
        <textField/>
        <textField/>
      </textFields>
    </textPr>
  </connection>
  <connection id="15" name="creater_sizes31" type="6" refreshedVersion="6" background="1" saveData="1">
    <textPr codePage="852" sourceFile="E:\WSB\Praca_Magisterska_2\Skrypty\NAC YOLO Training\runs\detect\val\300m_with_test_tuned_summation_LQ\creater_sizes.csv" decimal="," thousands=" " tab="0" comma="1">
      <textFields count="8">
        <textField/>
        <textField/>
        <textField/>
        <textField/>
        <textField/>
        <textField/>
        <textField/>
        <textField/>
      </textFields>
    </textPr>
  </connection>
  <connection id="16" name="creater_sizes32" type="6" refreshedVersion="6" background="1" saveData="1">
    <textPr codePage="852" sourceFile="E:\WSB\Praca_Magisterska_2\Skrypty\NAC YOLO Training\runs\detect\val\300m_with_test_tuned_summation_LQ\creater_sizes.csv" decimal="," thousands=" " tab="0" comma="1">
      <textFields count="8">
        <textField/>
        <textField/>
        <textField/>
        <textField/>
        <textField/>
        <textField/>
        <textField/>
        <textField/>
      </textFields>
    </textPr>
  </connection>
  <connection id="17" name="creater_sizes321" type="6" refreshedVersion="6" background="1" saveData="1">
    <textPr codePage="852" sourceFile="E:\WSB\Praca_Magisterska_2\Skrypty\NAC YOLO Training\runs\detect\val\300m_with_test_tuned_summation_LQ\creater_sizes.csv" decimal="," thousands=" " tab="0" comma="1">
      <textFields count="8">
        <textField/>
        <textField/>
        <textField/>
        <textField/>
        <textField/>
        <textField/>
        <textField/>
        <textField/>
      </textFields>
    </textPr>
  </connection>
  <connection id="18" name="creater_sizes3211" type="6" refreshedVersion="6" background="1" saveData="1">
    <textPr codePage="852" sourceFile="E:\WSB\Praca_Magisterska_2\Skrypty\NAC YOLO Training\runs\detect\val\300m_with_test_tuned_summation_LQ\creater_sizes.csv" decimal="," thousands=" " tab="0" comma="1">
      <textFields count="8">
        <textField/>
        <textField/>
        <textField/>
        <textField/>
        <textField/>
        <textField/>
        <textField/>
        <textField/>
      </textFields>
    </textPr>
  </connection>
  <connection id="19" name="creater_sizes3212" type="6" refreshedVersion="6" background="1" saveData="1">
    <textPr codePage="852" sourceFile="E:\WSB\Praca_Magisterska_2\Skrypty\NAC YOLO Training\runs\detect\val\300m_with_test_tuned_summation_LQ\creater_sizes.csv" decimal="," thousands=" " tab="0" comma="1">
      <textFields count="8">
        <textField/>
        <textField/>
        <textField/>
        <textField/>
        <textField/>
        <textField/>
        <textField/>
        <textField/>
      </textFields>
    </textPr>
  </connection>
  <connection id="20" name="creater_sizes4" type="6" refreshedVersion="6" background="1" saveData="1">
    <textPr codePage="852" sourceFile="E:\WSB\Praca_Magisterska_2\Skrypty\NAC YOLO Training\runs\detect\val\300m_with_test_tuned_all_LQ\creater_sizes.csv" decimal="," thousands=" " tab="0" comma="1">
      <textFields count="8">
        <textField/>
        <textField/>
        <textField/>
        <textField/>
        <textField/>
        <textField/>
        <textField/>
        <textField/>
      </textFields>
    </textPr>
  </connection>
  <connection id="21" name="creater_sizes41" type="6" refreshedVersion="6" background="1" saveData="1">
    <textPr codePage="852" sourceFile="E:\WSB\Praca_Magisterska_2\Skrypty\NAC YOLO Training\runs\detect\val\300m_with_test_tuned_all_LQ\creater_sizes.csv" decimal="," thousands=" " tab="0" comma="1">
      <textFields count="8">
        <textField/>
        <textField/>
        <textField/>
        <textField/>
        <textField/>
        <textField/>
        <textField/>
        <textField/>
      </textFields>
    </textPr>
  </connection>
  <connection id="22" name="creater_sizes42" type="6" refreshedVersion="6" background="1" saveData="1">
    <textPr codePage="852" sourceFile="E:\WSB\Praca_Magisterska_2\Skrypty\NAC YOLO Training\runs\detect\val\300m_with_test_tuned_all_LQ\creater_sizes.csv" decimal="," thousands=" " tab="0" comma="1">
      <textFields count="8">
        <textField/>
        <textField/>
        <textField/>
        <textField/>
        <textField/>
        <textField/>
        <textField/>
        <textField/>
      </textFields>
    </textPr>
  </connection>
  <connection id="23" name="creater_sizes421" type="6" refreshedVersion="6" background="1" saveData="1">
    <textPr codePage="852" sourceFile="E:\WSB\Praca_Magisterska_2\Skrypty\NAC YOLO Training\runs\detect\val\300m_with_test_tuned_all_LQ\creater_sizes.csv" decimal="," thousands=" " tab="0" comma="1">
      <textFields count="8">
        <textField/>
        <textField/>
        <textField/>
        <textField/>
        <textField/>
        <textField/>
        <textField/>
        <textField/>
      </textFields>
    </textPr>
  </connection>
  <connection id="24" name="creater_sizes4211" type="6" refreshedVersion="6" background="1" saveData="1">
    <textPr codePage="852" sourceFile="E:\WSB\Praca_Magisterska_2\Skrypty\NAC YOLO Training\runs\detect\val\300m_with_test_tuned_all_LQ\creater_sizes.csv" decimal="," thousands=" " tab="0" comma="1">
      <textFields count="8">
        <textField/>
        <textField/>
        <textField/>
        <textField/>
        <textField/>
        <textField/>
        <textField/>
        <textField/>
      </textFields>
    </textPr>
  </connection>
  <connection id="25" name="creater_sizes4212" type="6" refreshedVersion="6" background="1" saveData="1">
    <textPr codePage="852" sourceFile="E:\WSB\Praca_Magisterska_2\Skrypty\NAC YOLO Training\runs\detect\val\300m_with_test_tuned_all_LQ\creater_sizes.csv" decimal="," thousands=" " tab="0" comma="1">
      <textFields count="8">
        <textField/>
        <textField/>
        <textField/>
        <textField/>
        <textField/>
        <textField/>
        <textField/>
        <textField/>
      </textFields>
    </textPr>
  </connection>
  <connection id="26" name="creater_sizes5" type="6" refreshedVersion="6" background="1" saveData="1">
    <textPr codePage="852" sourceFile="E:\WSB\Praca_Magisterska_2\Skrypty\NAC YOLO Training\runs\detect\val\300m_with_test_tuned_LQ\creater_sizes.csv" decimal="," thousands=" " tab="0" comma="1">
      <textFields count="8">
        <textField/>
        <textField/>
        <textField/>
        <textField/>
        <textField/>
        <textField/>
        <textField/>
        <textField/>
      </textFields>
    </textPr>
  </connection>
  <connection id="27" name="creater_sizes6" type="6" refreshedVersion="6" background="1" saveData="1">
    <textPr codePage="852" sourceFile="E:\WSB\Praca_Magisterska_2\Skrypty\NAC YOLO Training\runs\detect\val\300m_with_test_tuned_LQ\creater_sizes.csv" decimal="," thousands=" " tab="0" comma="1">
      <textFields count="8">
        <textField/>
        <textField/>
        <textField/>
        <textField/>
        <textField/>
        <textField/>
        <textField/>
        <textField/>
      </textFields>
    </textPr>
  </connection>
  <connection id="28" name="creater_sizes61" type="6" refreshedVersion="6" background="1" saveData="1">
    <textPr codePage="852" sourceFile="E:\WSB\Praca_Magisterska_2\Skrypty\NAC YOLO Training\runs\detect\val\300m_with_test_tuned_LQ\creater_sizes.csv" decimal="," thousands=" " tab="0" comma="1">
      <textFields count="8">
        <textField/>
        <textField/>
        <textField/>
        <textField/>
        <textField/>
        <textField/>
        <textField/>
        <textField/>
      </textFields>
    </textPr>
  </connection>
  <connection id="29" name="creater_sizes611" type="6" refreshedVersion="6" background="1" saveData="1">
    <textPr codePage="852" sourceFile="E:\WSB\Praca_Magisterska_2\Skrypty\NAC YOLO Training\runs\detect\val\300m_with_test_tuned_LQ\creater_sizes.csv" decimal="," thousands=" " tab="0" comma="1">
      <textFields count="8">
        <textField/>
        <textField/>
        <textField/>
        <textField/>
        <textField/>
        <textField/>
        <textField/>
        <textField/>
      </textFields>
    </textPr>
  </connection>
  <connection id="30" name="creater_sizes612" type="6" refreshedVersion="6" background="1" saveData="1">
    <textPr codePage="852" sourceFile="E:\WSB\Praca_Magisterska_2\Skrypty\NAC YOLO Training\runs\detect\val\300m_with_test_tuned_LQ\creater_sizes.csv" decimal="," thousands=" " tab="0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<sst xmlns="http://schemas.openxmlformats.org/spreadsheetml/2006/main" count="320" uniqueCount="98">
  <si>
    <t>Domena</t>
  </si>
  <si>
    <t>Data obserwacji (UTC)</t>
  </si>
  <si>
    <t>Skala piksela (m/piksel)</t>
  </si>
  <si>
    <t>Incidence angle (°)</t>
  </si>
  <si>
    <t>Emission angle (°)</t>
  </si>
  <si>
    <t>Phase angle (°)</t>
  </si>
  <si>
    <t>HQ</t>
  </si>
  <si>
    <t>LQ</t>
  </si>
  <si>
    <t>ID produktu</t>
  </si>
  <si>
    <t>Lokalizacja (lat/lon)</t>
  </si>
  <si>
    <t>Wybrane obserwacje LROC NAC w domenach HQ i LQ</t>
  </si>
  <si>
    <t>M1189395735R</t>
  </si>
  <si>
    <t>M1219984321L</t>
  </si>
  <si>
    <t>M1219991336R</t>
  </si>
  <si>
    <t>M166854798L</t>
  </si>
  <si>
    <t>M176292983R</t>
  </si>
  <si>
    <t>M176299749L</t>
  </si>
  <si>
    <t>M176319991R</t>
  </si>
  <si>
    <t>2015-06-19T23:27:47</t>
  </si>
  <si>
    <t>2016-06-08T00:17:33</t>
  </si>
  <si>
    <t>2016-06-08T02:14:29</t>
  </si>
  <si>
    <t>2011-08-01T16:18:50</t>
  </si>
  <si>
    <t>2011-11-18T22:01:56</t>
  </si>
  <si>
    <t>2011-11-18T23:54:41</t>
  </si>
  <si>
    <t>2011-11-19T05:32:03</t>
  </si>
  <si>
    <t>M1383302898L</t>
  </si>
  <si>
    <t>2021-08-11T06:33:52</t>
  </si>
  <si>
    <t>M1470075484R</t>
  </si>
  <si>
    <t>2024-05-11T14:03:38</t>
  </si>
  <si>
    <t>M1470082542L</t>
  </si>
  <si>
    <t>2024-05-11T16:01:15</t>
  </si>
  <si>
    <t>Obszar detekcji i skala</t>
  </si>
  <si>
    <t>Skala piksela po kalibracji (m/piksel)</t>
  </si>
  <si>
    <t>średnia dla HQ</t>
  </si>
  <si>
    <t>średnia dla LQ</t>
  </si>
  <si>
    <t>max/min</t>
  </si>
  <si>
    <t>min/max</t>
  </si>
  <si>
    <t>Współczynnik powiększenia</t>
  </si>
  <si>
    <t>Bok kafelka w pikselach</t>
  </si>
  <si>
    <t>Zaokrąglony bok kafelka w pikselach</t>
  </si>
  <si>
    <t>Liczba kafelków</t>
  </si>
  <si>
    <t>Metryki P/R/F1 na LQ w koszykach rozmiaru kraterów</t>
  </si>
  <si>
    <t>TP</t>
  </si>
  <si>
    <t>FP</t>
  </si>
  <si>
    <t>FN</t>
  </si>
  <si>
    <t>S</t>
  </si>
  <si>
    <t>M</t>
  </si>
  <si>
    <t>L</t>
  </si>
  <si>
    <t>Scenariusz</t>
  </si>
  <si>
    <t>Bez degradacji</t>
  </si>
  <si>
    <t>Scalanie kolumn</t>
  </si>
  <si>
    <t>Conf=0.25</t>
  </si>
  <si>
    <t>IoU=0.5</t>
  </si>
  <si>
    <t>Precyzja</t>
  </si>
  <si>
    <t>Czułość</t>
  </si>
  <si>
    <t>F1</t>
  </si>
  <si>
    <t>ΔPrecyzja</t>
  </si>
  <si>
    <t>ΔCzułość</t>
  </si>
  <si>
    <t>ΔF1</t>
  </si>
  <si>
    <t>mAP50</t>
  </si>
  <si>
    <t>Porównanie walidacji modeli na domenie HQ i LQ</t>
  </si>
  <si>
    <t>mAP50-95</t>
  </si>
  <si>
    <t>ΔmAP50-95</t>
  </si>
  <si>
    <t>ΔmAP50</t>
  </si>
  <si>
    <t>-42,82/200,70</t>
  </si>
  <si>
    <t xml:space="preserve"> -42,08/203,01</t>
  </si>
  <si>
    <t>-42,12/204,78</t>
  </si>
  <si>
    <t>-41,74/203,78</t>
  </si>
  <si>
    <t>-41,38/205,96</t>
  </si>
  <si>
    <t>-41,37/204,85</t>
  </si>
  <si>
    <t>-42,77/203,92</t>
  </si>
  <si>
    <t>-40,25/205,59</t>
  </si>
  <si>
    <t>-41,91/205,14</t>
  </si>
  <si>
    <t>-39,60/204,24</t>
  </si>
  <si>
    <t>Rozmycie izotropowe</t>
  </si>
  <si>
    <t>Koszyk</t>
  </si>
  <si>
    <t>Koszyk S</t>
  </si>
  <si>
    <t>Koszyk M</t>
  </si>
  <si>
    <t>Koszyk L</t>
  </si>
  <si>
    <t xml:space="preserve"> </t>
  </si>
  <si>
    <t>Y</t>
  </si>
  <si>
    <t>Linia X</t>
  </si>
  <si>
    <t>Linia Y</t>
  </si>
  <si>
    <t>X</t>
  </si>
  <si>
    <t>Degradacje mieszane</t>
  </si>
  <si>
    <t>Zmniejszenie próbkowania</t>
  </si>
  <si>
    <t>Rozmycie izotropowe (L)</t>
  </si>
  <si>
    <t>Rozmycie izotropowe (S)</t>
  </si>
  <si>
    <t>Rozmycie izotropowe (M)</t>
  </si>
  <si>
    <t>Scalanie kolumn (S)</t>
  </si>
  <si>
    <t>Scalanie kolumn (M)</t>
  </si>
  <si>
    <t>Scalanie kolumn (L)</t>
  </si>
  <si>
    <t>Degradacje mieszane (S)</t>
  </si>
  <si>
    <t>Degradacje mieszane (M)</t>
  </si>
  <si>
    <t>Degradacje mieszane (L)</t>
  </si>
  <si>
    <t>Zmniejszenie próbkowania (S)</t>
  </si>
  <si>
    <t>Zmniejszenie próbkowania (M)</t>
  </si>
  <si>
    <t>Zmniejszenie próbkowania (L)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</si>
</sst>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0000"/>
    <numFmt numFmtId="165" formatCode="0.000"/>
  </numFmts>
  <fonts count="7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3.5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20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3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2" fontId="0" fillId="0" borderId="0" xfId="0" applyNumberFormat="1"/>
    <xf numFmtId="49" fontId="1" fillId="0" borderId="0" xfId="0" applyNumberFormat="1" applyFont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Fill="1"/>
    <xf numFmtId="0" fontId="4" fillId="0" borderId="0" xfId="0" applyFont="1"/>
    <xf numFmtId="164" fontId="0" fillId="0" borderId="0" xfId="0" applyNumberFormat="1"/>
    <xf numFmtId="1" fontId="0" fillId="0" borderId="0" xfId="0" applyNumberFormat="1"/>
    <xf numFmtId="2" fontId="0" fillId="0" borderId="0" xfId="0" applyNumberFormat="1" applyAlignment="1">
      <alignment horizontal="right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0" fontId="6" fillId="0" borderId="0" xfId="0" applyFont="1"/>
    <xf numFmtId="0" fontId="1" fillId="0" borderId="0" xfId="0" applyFont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10" fontId="0" fillId="0" borderId="0" xfId="1" applyNumberFormat="1" applyFont="1"/>
    <xf numFmtId="0" fontId="0" fillId="0" borderId="0" xfId="0" applyFont="1"/>
    <xf numFmtId="0" fontId="0" fillId="0" borderId="0" xfId="0" applyFont="1" applyAlignment="1">
      <alignment horizontal="center"/>
    </xf>
    <xf numFmtId="165" fontId="0" fillId="0" borderId="0" xfId="0" applyNumberFormat="1" applyFont="1"/>
    <xf numFmtId="0" fontId="1" fillId="0" borderId="1" xfId="0" applyFont="1" applyBorder="1" applyAlignment="1">
      <alignment horizontal="center"/>
    </xf>
    <xf numFmtId="165" fontId="0" fillId="0" borderId="1" xfId="0" applyNumberFormat="1" applyBorder="1"/>
    <xf numFmtId="49" fontId="0" fillId="0" borderId="0" xfId="0" applyNumberFormat="1" applyAlignment="1">
      <alignment horizontal="center"/>
    </xf>
    <xf numFmtId="2" fontId="3" fillId="0" borderId="0" xfId="0" applyNumberFormat="1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49" fontId="3" fillId="0" borderId="0" xfId="0" applyNumberFormat="1" applyFont="1" applyFill="1" applyAlignment="1">
      <alignment horizontal="center" vertical="center" wrapText="1"/>
    </xf>
    <xf numFmtId="0" fontId="3" fillId="0" borderId="0" xfId="0" applyFont="1" applyFill="1" applyAlignment="1">
      <alignment horizontal="center"/>
    </xf>
    <xf numFmtId="49" fontId="3" fillId="0" borderId="0" xfId="0" applyNumberFormat="1" applyFont="1" applyFill="1" applyAlignment="1">
      <alignment horizontal="center"/>
    </xf>
    <xf numFmtId="2" fontId="3" fillId="0" borderId="0" xfId="0" applyNumberFormat="1" applyFon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1" applyNumberFormat="1" applyFont="1" applyAlignment="1">
      <alignment horizontal="center"/>
    </xf>
    <xf numFmtId="0" fontId="0" fillId="0" borderId="1" xfId="0" applyBorder="1" applyAlignment="1">
      <alignment horizontal="center"/>
    </xf>
    <xf numFmtId="1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2">
    <cellStyle name="Normalny" xfId="0" builtinId="0"/>
    <cellStyle name="Procentowy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363587376453409"/>
          <c:y val="4.6474059357719852E-2"/>
          <c:w val="0.75686154884803403"/>
          <c:h val="0.84367816397857864"/>
        </c:manualLayout>
      </c:layout>
      <c:scatterChart>
        <c:scatterStyle val="lineMarker"/>
        <c:varyColors val="0"/>
        <c:ser>
          <c:idx val="0"/>
          <c:order val="0"/>
          <c:tx>
            <c:strRef>
              <c:f>'Porównanie walidacji modeli'!$AA$4</c:f>
              <c:strCache>
                <c:ptCount val="1"/>
                <c:pt idx="0">
                  <c:v>HQ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25400">
                <a:solidFill>
                  <a:schemeClr val="accent1"/>
                </a:solidFill>
              </a:ln>
              <a:effectLst/>
            </c:spPr>
          </c:marker>
          <c:xVal>
            <c:numRef>
              <c:f>'Porównanie walidacji modeli'!$Y$5:$Y$8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'Porównanie walidacji modeli'!$AA$5:$AA$8</c:f>
              <c:numCache>
                <c:formatCode>0.00%</c:formatCode>
                <c:ptCount val="4"/>
                <c:pt idx="0">
                  <c:v>-4.4864586214922376E-2</c:v>
                </c:pt>
                <c:pt idx="1">
                  <c:v>4.5827154474381866E-3</c:v>
                </c:pt>
                <c:pt idx="2">
                  <c:v>-8.0320909626405285E-2</c:v>
                </c:pt>
                <c:pt idx="3">
                  <c:v>1.4035673399938112E-2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54-4E72-A42E-6BD22AC96E47}"/>
            </c:ext>
          </c:extLst>
        </c:ser>
        <c:ser>
          <c:idx val="1"/>
          <c:order val="1"/>
          <c:tx>
            <c:strRef>
              <c:f>'Porównanie walidacji modeli'!$AB$4</c:f>
              <c:strCache>
                <c:ptCount val="1"/>
                <c:pt idx="0">
                  <c:v>LQ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25400">
                <a:solidFill>
                  <a:schemeClr val="accent2"/>
                </a:solidFill>
              </a:ln>
              <a:effectLst/>
            </c:spPr>
          </c:marker>
          <c:xVal>
            <c:numRef>
              <c:f>'Porównanie walidacji modeli'!$Y$5:$Y$8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'Porównanie walidacji modeli'!$AB$5:$AB$8</c:f>
              <c:numCache>
                <c:formatCode>0.00%</c:formatCode>
                <c:ptCount val="4"/>
                <c:pt idx="0">
                  <c:v>0.24831661785313733</c:v>
                </c:pt>
                <c:pt idx="1">
                  <c:v>-0.1997633493290239</c:v>
                </c:pt>
                <c:pt idx="2">
                  <c:v>-0.2759264321806118</c:v>
                </c:pt>
                <c:pt idx="3">
                  <c:v>0.20352189552526356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54-4E72-A42E-6BD22AC96E47}"/>
            </c:ext>
          </c:extLst>
        </c:ser>
        <c:ser>
          <c:idx val="2"/>
          <c:order val="2"/>
          <c:tx>
            <c:v>Linia_zp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A854-4E72-A42E-6BD22AC96E47}"/>
              </c:ext>
            </c:extLst>
          </c:dPt>
          <c:xVal>
            <c:numRef>
              <c:f>'Porównanie walidacji modeli'!$AC$5:$AC$6</c:f>
              <c:numCache>
                <c:formatCode>0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xVal>
          <c:yVal>
            <c:numRef>
              <c:f>'Porównanie walidacji modeli'!$AD$5:$AD$6</c:f>
              <c:numCache>
                <c:formatCode>0.00%</c:formatCode>
                <c:ptCount val="2"/>
                <c:pt idx="0">
                  <c:v>-4.4864586214922376E-2</c:v>
                </c:pt>
                <c:pt idx="1">
                  <c:v>0.24831661785313733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854-4E72-A42E-6BD22AC96E47}"/>
            </c:ext>
          </c:extLst>
        </c:ser>
        <c:ser>
          <c:idx val="3"/>
          <c:order val="3"/>
          <c:tx>
            <c:v>Linia_ri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A854-4E72-A42E-6BD22AC96E47}"/>
              </c:ext>
            </c:extLst>
          </c:dPt>
          <c:xVal>
            <c:numRef>
              <c:f>'Porównanie walidacji modeli'!$AC$7:$AC$8</c:f>
              <c:numCache>
                <c:formatCode>0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xVal>
          <c:yVal>
            <c:numRef>
              <c:f>'Porównanie walidacji modeli'!$AD$7:$AD$8</c:f>
              <c:numCache>
                <c:formatCode>0.00%</c:formatCode>
                <c:ptCount val="2"/>
                <c:pt idx="0">
                  <c:v>4.5827154474381866E-3</c:v>
                </c:pt>
                <c:pt idx="1">
                  <c:v>-0.1997633493290239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854-4E72-A42E-6BD22AC96E47}"/>
            </c:ext>
          </c:extLst>
        </c:ser>
        <c:ser>
          <c:idx val="4"/>
          <c:order val="4"/>
          <c:tx>
            <c:v>Linia_sk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A854-4E72-A42E-6BD22AC96E47}"/>
              </c:ext>
            </c:extLst>
          </c:dPt>
          <c:xVal>
            <c:numRef>
              <c:f>'Porównanie walidacji modeli'!$AC$9:$AC$10</c:f>
              <c:numCache>
                <c:formatCode>0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xVal>
          <c:yVal>
            <c:numRef>
              <c:f>'Porównanie walidacji modeli'!$AD$9:$AD$10</c:f>
              <c:numCache>
                <c:formatCode>0.00%</c:formatCode>
                <c:ptCount val="2"/>
                <c:pt idx="0">
                  <c:v>-8.0320909626405285E-2</c:v>
                </c:pt>
                <c:pt idx="1">
                  <c:v>-0.2759264321806118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854-4E72-A42E-6BD22AC96E47}"/>
            </c:ext>
          </c:extLst>
        </c:ser>
        <c:ser>
          <c:idx val="5"/>
          <c:order val="5"/>
          <c:tx>
            <c:v>Linia_dł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A854-4E72-A42E-6BD22AC96E47}"/>
              </c:ext>
            </c:extLst>
          </c:dPt>
          <c:xVal>
            <c:numRef>
              <c:f>'Porównanie walidacji modeli'!$AC$11:$AC$12</c:f>
              <c:numCache>
                <c:formatCode>0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xVal>
          <c:yVal>
            <c:numRef>
              <c:f>'Porównanie walidacji modeli'!$AD$11:$AD$12</c:f>
              <c:numCache>
                <c:formatCode>0.00%</c:formatCode>
                <c:ptCount val="2"/>
                <c:pt idx="0">
                  <c:v>1.4035673399938112E-2</c:v>
                </c:pt>
                <c:pt idx="1">
                  <c:v>0.20352189552526356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854-4E72-A42E-6BD22AC96E47}"/>
            </c:ext>
          </c:extLst>
        </c:ser>
        <c:ser>
          <c:idx val="6"/>
          <c:order val="6"/>
          <c:tx>
            <c:v>Etykiety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/>
              <c:tx>
                <c:rich>
                  <a:bodyPr/>
                  <a:lstStyle/>
                  <a:p>
                    <a:fld id="{BAA5175B-8872-407F-B607-BF9620C14B9D}" type="CELLRANGE">
                      <a:rPr lang="en-US"/>
                      <a:pPr/>
                      <a:t>[ZAKRES KOMÓREK]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A854-4E72-A42E-6BD22AC96E47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C5A0A341-115E-4BA2-8587-391B7C53EB75}" type="CELLRANGE">
                      <a:rPr lang="en-US"/>
                      <a:pPr/>
                      <a:t>[ZAKRES KOMÓREK]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A854-4E72-A42E-6BD22AC96E47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09D3D339-9B39-49FA-9690-D1D2DFFB64F7}" type="CELLRANGE">
                      <a:rPr lang="en-US"/>
                      <a:pPr/>
                      <a:t>[ZAKRES KOMÓREK]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A854-4E72-A42E-6BD22AC96E47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2360751F-1B35-457D-90DD-C8C2C773A936}" type="CELLRANGE">
                      <a:rPr lang="en-US"/>
                      <a:pPr/>
                      <a:t>[ZAKRES KOMÓREK]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A854-4E72-A42E-6BD22AC96E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0"/>
              </c:ext>
            </c:extLst>
          </c:dLbls>
          <c:xVal>
            <c:numRef>
              <c:f>'Porównanie walidacji modeli'!$Y$5:$Y$8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'Porównanie walidacji modeli'!$Z$5:$Z$8</c:f>
              <c:numCache>
                <c:formatCode>0.00%</c:formatCode>
                <c:ptCount val="4"/>
                <c:pt idx="0">
                  <c:v>-0.28592643218061181</c:v>
                </c:pt>
                <c:pt idx="1">
                  <c:v>-0.28592643218061181</c:v>
                </c:pt>
                <c:pt idx="2">
                  <c:v>-0.28592643218061181</c:v>
                </c:pt>
                <c:pt idx="3">
                  <c:v>-0.28592643218061181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'Porównanie walidacji modeli'!$X$5:$X$8</c15:f>
                <c15:dlblRangeCache>
                  <c:ptCount val="4"/>
                  <c:pt idx="0">
                    <c:v>Zmniejszenie próbkowania</c:v>
                  </c:pt>
                  <c:pt idx="1">
                    <c:v>Rozmycie izotropowe</c:v>
                  </c:pt>
                  <c:pt idx="2">
                    <c:v>Scalanie kolumn</c:v>
                  </c:pt>
                  <c:pt idx="3">
                    <c:v>Degradacje mieszane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F-A854-4E72-A42E-6BD22AC96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164047"/>
        <c:axId val="188173199"/>
      </c:scatterChart>
      <c:valAx>
        <c:axId val="188164047"/>
        <c:scaling>
          <c:orientation val="minMax"/>
          <c:min val="0.5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73199"/>
        <c:crosses val="autoZero"/>
        <c:crossBetween val="midCat"/>
      </c:valAx>
      <c:valAx>
        <c:axId val="188173199"/>
        <c:scaling>
          <c:orientation val="minMax"/>
          <c:min val="-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Zmiana precyzji (</a:t>
                </a:r>
                <a:r>
                  <a:rPr lang="el-GR"/>
                  <a:t>Δ</a:t>
                </a:r>
                <a:r>
                  <a:rPr lang="pl-PL"/>
                  <a:t>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640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07275061202307"/>
          <c:y val="5.4770762298872538E-2"/>
          <c:w val="0.75242467200054508"/>
          <c:h val="0.81462203529612376"/>
        </c:manualLayout>
      </c:layout>
      <c:scatterChart>
        <c:scatterStyle val="lineMarker"/>
        <c:varyColors val="0"/>
        <c:ser>
          <c:idx val="0"/>
          <c:order val="0"/>
          <c:tx>
            <c:strRef>
              <c:f>'Porównanie walidacji modeli'!$AA$32</c:f>
              <c:strCache>
                <c:ptCount val="1"/>
                <c:pt idx="0">
                  <c:v>HQ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25400">
                <a:solidFill>
                  <a:schemeClr val="accent1"/>
                </a:solidFill>
              </a:ln>
              <a:effectLst/>
            </c:spPr>
          </c:marker>
          <c:xVal>
            <c:numRef>
              <c:f>'Porównanie walidacji modeli'!$Y$33:$Y$36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'Porównanie walidacji modeli'!$AA$33:$AA$36</c:f>
              <c:numCache>
                <c:formatCode>0.00%</c:formatCode>
                <c:ptCount val="4"/>
                <c:pt idx="0">
                  <c:v>1.7948910672371459E-2</c:v>
                </c:pt>
                <c:pt idx="1">
                  <c:v>4.7668936616029042E-2</c:v>
                </c:pt>
                <c:pt idx="2">
                  <c:v>-0.10993494021257308</c:v>
                </c:pt>
                <c:pt idx="3">
                  <c:v>2.0938509024440652E-3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A0-41EB-8F80-55DA642EE7EE}"/>
            </c:ext>
          </c:extLst>
        </c:ser>
        <c:ser>
          <c:idx val="1"/>
          <c:order val="1"/>
          <c:tx>
            <c:strRef>
              <c:f>'Porównanie walidacji modeli'!$AB$32</c:f>
              <c:strCache>
                <c:ptCount val="1"/>
                <c:pt idx="0">
                  <c:v>LQ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25400">
                <a:solidFill>
                  <a:schemeClr val="accent2"/>
                </a:solidFill>
              </a:ln>
              <a:effectLst/>
            </c:spPr>
          </c:marker>
          <c:xVal>
            <c:numRef>
              <c:f>'Porównanie walidacji modeli'!$Y$33:$Y$36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'Porównanie walidacji modeli'!$AB$33:$AB$36</c:f>
              <c:numCache>
                <c:formatCode>0.00%</c:formatCode>
                <c:ptCount val="4"/>
                <c:pt idx="0">
                  <c:v>2.0239624696879037</c:v>
                </c:pt>
                <c:pt idx="1">
                  <c:v>0.46031841454006128</c:v>
                </c:pt>
                <c:pt idx="2">
                  <c:v>0.59557946837396036</c:v>
                </c:pt>
                <c:pt idx="3">
                  <c:v>2.1736250964361186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A0-41EB-8F80-55DA642EE7EE}"/>
            </c:ext>
          </c:extLst>
        </c:ser>
        <c:ser>
          <c:idx val="2"/>
          <c:order val="2"/>
          <c:tx>
            <c:v>Linia_zp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'Porównanie walidacji modeli'!$AC$33:$AC$34</c:f>
              <c:numCache>
                <c:formatCode>0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xVal>
          <c:yVal>
            <c:numRef>
              <c:f>'Porównanie walidacji modeli'!$AD$33:$AD$34</c:f>
              <c:numCache>
                <c:formatCode>0.00%</c:formatCode>
                <c:ptCount val="2"/>
                <c:pt idx="0">
                  <c:v>1.7948910672371459E-2</c:v>
                </c:pt>
                <c:pt idx="1">
                  <c:v>2.0239624696879037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DA0-41EB-8F80-55DA642EE7EE}"/>
            </c:ext>
          </c:extLst>
        </c:ser>
        <c:ser>
          <c:idx val="3"/>
          <c:order val="3"/>
          <c:tx>
            <c:v>Linia_ri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'Porównanie walidacji modeli'!$AC$35:$AC$36</c:f>
              <c:numCache>
                <c:formatCode>0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xVal>
          <c:yVal>
            <c:numRef>
              <c:f>'Porównanie walidacji modeli'!$AD$35:$AD$36</c:f>
              <c:numCache>
                <c:formatCode>0.00%</c:formatCode>
                <c:ptCount val="2"/>
                <c:pt idx="0">
                  <c:v>4.7668936616029042E-2</c:v>
                </c:pt>
                <c:pt idx="1">
                  <c:v>0.46031841454006128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DA0-41EB-8F80-55DA642EE7EE}"/>
            </c:ext>
          </c:extLst>
        </c:ser>
        <c:ser>
          <c:idx val="4"/>
          <c:order val="4"/>
          <c:tx>
            <c:v>Linia_sk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'Porównanie walidacji modeli'!$AC$37:$AC$38</c:f>
              <c:numCache>
                <c:formatCode>0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xVal>
          <c:yVal>
            <c:numRef>
              <c:f>'Porównanie walidacji modeli'!$AD$37:$AD$38</c:f>
              <c:numCache>
                <c:formatCode>0.00%</c:formatCode>
                <c:ptCount val="2"/>
                <c:pt idx="0">
                  <c:v>-0.10993494021257308</c:v>
                </c:pt>
                <c:pt idx="1">
                  <c:v>0.59557946837396036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1DA0-41EB-8F80-55DA642EE7EE}"/>
            </c:ext>
          </c:extLst>
        </c:ser>
        <c:ser>
          <c:idx val="5"/>
          <c:order val="5"/>
          <c:tx>
            <c:v>Linia_dł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'Porównanie walidacji modeli'!$AC$39:$AC$40</c:f>
              <c:numCache>
                <c:formatCode>0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xVal>
          <c:yVal>
            <c:numRef>
              <c:f>'Porównanie walidacji modeli'!$AD$39:$AD$40</c:f>
              <c:numCache>
                <c:formatCode>0.00%</c:formatCode>
                <c:ptCount val="2"/>
                <c:pt idx="0">
                  <c:v>2.0938509024440652E-3</c:v>
                </c:pt>
                <c:pt idx="1">
                  <c:v>2.1736250964361186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1DA0-41EB-8F80-55DA642EE7EE}"/>
            </c:ext>
          </c:extLst>
        </c:ser>
        <c:ser>
          <c:idx val="6"/>
          <c:order val="6"/>
          <c:tx>
            <c:v>Etykiety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/>
              <c:tx>
                <c:rich>
                  <a:bodyPr/>
                  <a:lstStyle/>
                  <a:p>
                    <a:fld id="{319B89F3-57E7-4D99-8B8D-E79FFB434046}" type="CELLRANGE">
                      <a:rPr lang="en-US"/>
                      <a:pPr/>
                      <a:t>[ZAKRES KOMÓREK]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1DA0-41EB-8F80-55DA642EE7EE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E50F1C0E-2C63-4908-A38C-903E1A1B9404}" type="CELLRANGE">
                      <a:rPr lang="en-US"/>
                      <a:pPr/>
                      <a:t>[ZAKRES KOMÓREK]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1DA0-41EB-8F80-55DA642EE7EE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BE7D9CCC-978E-41F7-A98E-11039C772194}" type="CELLRANGE">
                      <a:rPr lang="en-US"/>
                      <a:pPr/>
                      <a:t>[ZAKRES KOMÓREK]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1DA0-41EB-8F80-55DA642EE7EE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A5006927-5154-4B17-BEE5-22CE0EF2073D}" type="CELLRANGE">
                      <a:rPr lang="en-US"/>
                      <a:pPr/>
                      <a:t>[ZAKRES KOMÓREK]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1DA0-41EB-8F80-55DA642EE7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0"/>
              </c:ext>
            </c:extLst>
          </c:dLbls>
          <c:xVal>
            <c:numRef>
              <c:f>'Porównanie walidacji modeli'!$Y$33:$Y$36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'Porównanie walidacji modeli'!$Z$33:$Z$36</c:f>
              <c:numCache>
                <c:formatCode>0.00%</c:formatCode>
                <c:ptCount val="4"/>
                <c:pt idx="0">
                  <c:v>-0.36993494021257312</c:v>
                </c:pt>
                <c:pt idx="1">
                  <c:v>-0.36993494021257312</c:v>
                </c:pt>
                <c:pt idx="2">
                  <c:v>-0.36993494021257312</c:v>
                </c:pt>
                <c:pt idx="3">
                  <c:v>-0.36993494021257312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'Porównanie walidacji modeli'!$X$5:$X$8</c15:f>
                <c15:dlblRangeCache>
                  <c:ptCount val="4"/>
                  <c:pt idx="0">
                    <c:v>Zmniejszenie próbkowania</c:v>
                  </c:pt>
                  <c:pt idx="1">
                    <c:v>Rozmycie izotropowe</c:v>
                  </c:pt>
                  <c:pt idx="2">
                    <c:v>Scalanie kolumn</c:v>
                  </c:pt>
                  <c:pt idx="3">
                    <c:v>Degradacje mieszane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2-1DA0-41EB-8F80-55DA642EE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164047"/>
        <c:axId val="188173199"/>
      </c:scatterChart>
      <c:valAx>
        <c:axId val="188164047"/>
        <c:scaling>
          <c:orientation val="minMax"/>
          <c:min val="0.5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73199"/>
        <c:crosses val="autoZero"/>
        <c:crossBetween val="midCat"/>
      </c:valAx>
      <c:valAx>
        <c:axId val="188173199"/>
        <c:scaling>
          <c:orientation val="minMax"/>
          <c:min val="-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Zmiana czułości </a:t>
                </a:r>
                <a:r>
                  <a:rPr lang="pl-PL" sz="1000" b="0" i="0" u="none" strike="noStrike" baseline="0">
                    <a:effectLst/>
                  </a:rPr>
                  <a:t>(</a:t>
                </a:r>
                <a:r>
                  <a:rPr lang="el-GR" sz="1000" b="0" i="0" u="none" strike="noStrike" baseline="0">
                    <a:effectLst/>
                  </a:rPr>
                  <a:t>Δ</a:t>
                </a:r>
                <a:r>
                  <a:rPr lang="pl-PL" sz="1000" b="0" i="0" u="none" strike="noStrike" baseline="0">
                    <a:effectLst/>
                  </a:rPr>
                  <a:t>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640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631363166891039"/>
          <c:y val="5.0925925925925923E-2"/>
          <c:w val="0.75557891096080843"/>
          <c:h val="0.84394717847769019"/>
        </c:manualLayout>
      </c:layout>
      <c:scatterChart>
        <c:scatterStyle val="lineMarker"/>
        <c:varyColors val="0"/>
        <c:ser>
          <c:idx val="0"/>
          <c:order val="0"/>
          <c:tx>
            <c:strRef>
              <c:f>'Porównanie walidacji modeli'!$AJ$4</c:f>
              <c:strCache>
                <c:ptCount val="1"/>
                <c:pt idx="0">
                  <c:v>HQ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25400">
                <a:solidFill>
                  <a:schemeClr val="accent1"/>
                </a:solidFill>
              </a:ln>
              <a:effectLst/>
            </c:spPr>
          </c:marker>
          <c:xVal>
            <c:numRef>
              <c:f>'Porównanie walidacji modeli'!$AH$5:$AH$8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'Porównanie walidacji modeli'!$AJ$5:$AJ$8</c:f>
              <c:numCache>
                <c:formatCode>0.00%</c:formatCode>
                <c:ptCount val="4"/>
                <c:pt idx="0">
                  <c:v>3.6021074538602642E-2</c:v>
                </c:pt>
                <c:pt idx="1">
                  <c:v>6.3229734812736763E-2</c:v>
                </c:pt>
                <c:pt idx="2">
                  <c:v>-7.4928618777011388E-2</c:v>
                </c:pt>
                <c:pt idx="3">
                  <c:v>3.800963360395232E-2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DC-4BD5-B3CC-B839ACE7D07E}"/>
            </c:ext>
          </c:extLst>
        </c:ser>
        <c:ser>
          <c:idx val="1"/>
          <c:order val="1"/>
          <c:tx>
            <c:strRef>
              <c:f>'Porównanie walidacji modeli'!$AK$4</c:f>
              <c:strCache>
                <c:ptCount val="1"/>
                <c:pt idx="0">
                  <c:v>LQ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25400">
                <a:solidFill>
                  <a:schemeClr val="accent2"/>
                </a:solidFill>
              </a:ln>
              <a:effectLst/>
            </c:spPr>
          </c:marker>
          <c:xVal>
            <c:numRef>
              <c:f>'Porównanie walidacji modeli'!$AH$5:$AH$8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'Porównanie walidacji modeli'!$AK$5:$AK$8</c:f>
              <c:numCache>
                <c:formatCode>0.00%</c:formatCode>
                <c:ptCount val="4"/>
                <c:pt idx="0">
                  <c:v>1.899023224865569</c:v>
                </c:pt>
                <c:pt idx="1">
                  <c:v>0.15809703700931527</c:v>
                </c:pt>
                <c:pt idx="2">
                  <c:v>-7.3656107730099993E-2</c:v>
                </c:pt>
                <c:pt idx="3">
                  <c:v>1.7615033682025305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DC-4BD5-B3CC-B839ACE7D07E}"/>
            </c:ext>
          </c:extLst>
        </c:ser>
        <c:ser>
          <c:idx val="2"/>
          <c:order val="2"/>
          <c:tx>
            <c:v>Linia_zp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'Porównanie walidacji modeli'!$AL$5:$AL$6</c:f>
              <c:numCache>
                <c:formatCode>0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xVal>
          <c:yVal>
            <c:numRef>
              <c:f>'Porównanie walidacji modeli'!$AM$5:$AM$6</c:f>
              <c:numCache>
                <c:formatCode>0.00%</c:formatCode>
                <c:ptCount val="2"/>
                <c:pt idx="0">
                  <c:v>3.6021074538602642E-2</c:v>
                </c:pt>
                <c:pt idx="1">
                  <c:v>1.899023224865569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DC-4BD5-B3CC-B839ACE7D07E}"/>
            </c:ext>
          </c:extLst>
        </c:ser>
        <c:ser>
          <c:idx val="3"/>
          <c:order val="3"/>
          <c:tx>
            <c:v>Linia_ri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'Porównanie walidacji modeli'!$AL$7:$AL$8</c:f>
              <c:numCache>
                <c:formatCode>0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xVal>
          <c:yVal>
            <c:numRef>
              <c:f>'Porównanie walidacji modeli'!$AM$7:$AM$8</c:f>
              <c:numCache>
                <c:formatCode>0.00%</c:formatCode>
                <c:ptCount val="2"/>
                <c:pt idx="0">
                  <c:v>6.3229734812736763E-2</c:v>
                </c:pt>
                <c:pt idx="1">
                  <c:v>0.15809703700931527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DC-4BD5-B3CC-B839ACE7D07E}"/>
            </c:ext>
          </c:extLst>
        </c:ser>
        <c:ser>
          <c:idx val="4"/>
          <c:order val="4"/>
          <c:tx>
            <c:v>Linia_sk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numRef>
              <c:f>'Porównanie walidacji modeli'!$AL$9:$AL$10</c:f>
              <c:numCache>
                <c:formatCode>0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xVal>
          <c:yVal>
            <c:numRef>
              <c:f>'Porównanie walidacji modeli'!$AM$9:$AM$10</c:f>
              <c:numCache>
                <c:formatCode>0.00%</c:formatCode>
                <c:ptCount val="2"/>
                <c:pt idx="0">
                  <c:v>-7.4928618777011388E-2</c:v>
                </c:pt>
                <c:pt idx="1">
                  <c:v>-7.3656107730099993E-2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DC-4BD5-B3CC-B839ACE7D07E}"/>
            </c:ext>
          </c:extLst>
        </c:ser>
        <c:ser>
          <c:idx val="5"/>
          <c:order val="5"/>
          <c:tx>
            <c:v>Linia_dł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'Porównanie walidacji modeli'!$AL$11:$AL$12</c:f>
              <c:numCache>
                <c:formatCode>0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xVal>
          <c:yVal>
            <c:numRef>
              <c:f>'Porównanie walidacji modeli'!$AM$11:$AM$12</c:f>
              <c:numCache>
                <c:formatCode>0.00%</c:formatCode>
                <c:ptCount val="2"/>
                <c:pt idx="0">
                  <c:v>3.800963360395232E-2</c:v>
                </c:pt>
                <c:pt idx="1">
                  <c:v>1.7615033682025305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DC-4BD5-B3CC-B839ACE7D07E}"/>
            </c:ext>
          </c:extLst>
        </c:ser>
        <c:ser>
          <c:idx val="6"/>
          <c:order val="6"/>
          <c:tx>
            <c:v>Etykiety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/>
              <c:tx>
                <c:rich>
                  <a:bodyPr/>
                  <a:lstStyle/>
                  <a:p>
                    <a:fld id="{C5C1FBF3-C1DB-4D7E-96AD-D28ED68400AA}" type="CELLRANGE">
                      <a:rPr lang="en-US"/>
                      <a:pPr/>
                      <a:t>[ZAKRES KOMÓREK]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EDC-4BD5-B3CC-B839ACE7D07E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454B73A4-E32F-433E-945F-339F9B7BCF70}" type="CELLRANGE">
                      <a:rPr lang="en-US"/>
                      <a:pPr/>
                      <a:t>[ZAKRES KOMÓREK]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EDC-4BD5-B3CC-B839ACE7D07E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0834BE1C-FD34-4250-88D0-19C6A8B75B80}" type="CELLRANGE">
                      <a:rPr lang="en-US"/>
                      <a:pPr/>
                      <a:t>[ZAKRES KOMÓREK]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EDC-4BD5-B3CC-B839ACE7D07E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70B7F712-353E-4ED6-A9EB-E826A7C7AA1A}" type="CELLRANGE">
                      <a:rPr lang="en-US"/>
                      <a:pPr/>
                      <a:t>[ZAKRES KOMÓREK]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EDC-4BD5-B3CC-B839ACE7D0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0"/>
              </c:ext>
            </c:extLst>
          </c:dLbls>
          <c:xVal>
            <c:numRef>
              <c:f>'Porównanie walidacji modeli'!$AH$5:$AH$8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'Porównanie walidacji modeli'!$AI$5:$AI$8</c:f>
              <c:numCache>
                <c:formatCode>0.00%</c:formatCode>
                <c:ptCount val="4"/>
                <c:pt idx="0">
                  <c:v>-0.3849286187770114</c:v>
                </c:pt>
                <c:pt idx="1">
                  <c:v>-0.3849286187770114</c:v>
                </c:pt>
                <c:pt idx="2">
                  <c:v>-0.3849286187770114</c:v>
                </c:pt>
                <c:pt idx="3">
                  <c:v>-0.3849286187770114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'Porównanie walidacji modeli'!$X$5:$X$8</c15:f>
                <c15:dlblRangeCache>
                  <c:ptCount val="4"/>
                  <c:pt idx="0">
                    <c:v>Zmniejszenie próbkowania</c:v>
                  </c:pt>
                  <c:pt idx="1">
                    <c:v>Rozmycie izotropowe</c:v>
                  </c:pt>
                  <c:pt idx="2">
                    <c:v>Scalanie kolumn</c:v>
                  </c:pt>
                  <c:pt idx="3">
                    <c:v>Degradacje mieszane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3EDC-4BD5-B3CC-B839ACE7D0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164047"/>
        <c:axId val="188173199"/>
      </c:scatterChart>
      <c:valAx>
        <c:axId val="188164047"/>
        <c:scaling>
          <c:orientation val="minMax"/>
          <c:min val="0.5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73199"/>
        <c:crosses val="autoZero"/>
        <c:crossBetween val="midCat"/>
      </c:valAx>
      <c:valAx>
        <c:axId val="188173199"/>
        <c:scaling>
          <c:orientation val="minMax"/>
          <c:min val="-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Zmiana mAP50 </a:t>
                </a:r>
                <a:r>
                  <a:rPr lang="pl-PL" sz="1000" b="0" i="0" u="none" strike="noStrike" baseline="0">
                    <a:effectLst/>
                  </a:rPr>
                  <a:t>(</a:t>
                </a:r>
                <a:r>
                  <a:rPr lang="el-GR" sz="1000" b="0" i="0" u="none" strike="noStrike" baseline="0">
                    <a:effectLst/>
                  </a:rPr>
                  <a:t>Δ</a:t>
                </a:r>
                <a:r>
                  <a:rPr lang="pl-PL" sz="1000" b="0" i="0" u="none" strike="noStrike" baseline="0">
                    <a:effectLst/>
                  </a:rPr>
                  <a:t>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640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631363166891039"/>
          <c:y val="5.0925925925925923E-2"/>
          <c:w val="0.75557891096080843"/>
          <c:h val="0.83485879702121557"/>
        </c:manualLayout>
      </c:layout>
      <c:scatterChart>
        <c:scatterStyle val="lineMarker"/>
        <c:varyColors val="0"/>
        <c:ser>
          <c:idx val="0"/>
          <c:order val="0"/>
          <c:tx>
            <c:strRef>
              <c:f>'Porównanie walidacji modeli'!$AJ$32</c:f>
              <c:strCache>
                <c:ptCount val="1"/>
                <c:pt idx="0">
                  <c:v>HQ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25400">
                <a:solidFill>
                  <a:schemeClr val="accent1"/>
                </a:solidFill>
              </a:ln>
              <a:effectLst/>
            </c:spPr>
          </c:marker>
          <c:xVal>
            <c:numRef>
              <c:f>'Porównanie walidacji modeli'!$AH$33:$AH$36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'Porównanie walidacji modeli'!$AJ$33:$AJ$36</c:f>
              <c:numCache>
                <c:formatCode>0.00%</c:formatCode>
                <c:ptCount val="4"/>
                <c:pt idx="0">
                  <c:v>4.5718648213859056E-2</c:v>
                </c:pt>
                <c:pt idx="1">
                  <c:v>8.8731299356494139E-2</c:v>
                </c:pt>
                <c:pt idx="2">
                  <c:v>-0.14498353809622816</c:v>
                </c:pt>
                <c:pt idx="3">
                  <c:v>5.1908974160972107E-2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79-4491-886C-B51DF4401B02}"/>
            </c:ext>
          </c:extLst>
        </c:ser>
        <c:ser>
          <c:idx val="1"/>
          <c:order val="1"/>
          <c:tx>
            <c:strRef>
              <c:f>'Porównanie walidacji modeli'!$AK$32</c:f>
              <c:strCache>
                <c:ptCount val="1"/>
                <c:pt idx="0">
                  <c:v>LQ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25400">
                <a:solidFill>
                  <a:schemeClr val="accent2"/>
                </a:solidFill>
              </a:ln>
              <a:effectLst/>
            </c:spPr>
          </c:marker>
          <c:xVal>
            <c:numRef>
              <c:f>'Porównanie walidacji modeli'!$AH$33:$AH$36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'Porównanie walidacji modeli'!$AK$33:$AK$36</c:f>
              <c:numCache>
                <c:formatCode>0.00%</c:formatCode>
                <c:ptCount val="4"/>
                <c:pt idx="0">
                  <c:v>4.5079599717251355</c:v>
                </c:pt>
                <c:pt idx="1">
                  <c:v>0.57491039408683964</c:v>
                </c:pt>
                <c:pt idx="2">
                  <c:v>-0.35597255211007783</c:v>
                </c:pt>
                <c:pt idx="3">
                  <c:v>3.9772269087838268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79-4491-886C-B51DF4401B02}"/>
            </c:ext>
          </c:extLst>
        </c:ser>
        <c:ser>
          <c:idx val="2"/>
          <c:order val="2"/>
          <c:tx>
            <c:v>Linia_zp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'Porównanie walidacji modeli'!$AL$33:$AL$34</c:f>
              <c:numCache>
                <c:formatCode>0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xVal>
          <c:yVal>
            <c:numRef>
              <c:f>'Porównanie walidacji modeli'!$AM$33:$AM$34</c:f>
              <c:numCache>
                <c:formatCode>0.00%</c:formatCode>
                <c:ptCount val="2"/>
                <c:pt idx="0">
                  <c:v>4.5718648213859056E-2</c:v>
                </c:pt>
                <c:pt idx="1">
                  <c:v>4.5079599717251355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379-4491-886C-B51DF4401B02}"/>
            </c:ext>
          </c:extLst>
        </c:ser>
        <c:ser>
          <c:idx val="3"/>
          <c:order val="3"/>
          <c:tx>
            <c:v>Linia_ri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'Porównanie walidacji modeli'!$AL$35:$AL$36</c:f>
              <c:numCache>
                <c:formatCode>0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xVal>
          <c:yVal>
            <c:numRef>
              <c:f>'Porównanie walidacji modeli'!$AM$35:$AM$36</c:f>
              <c:numCache>
                <c:formatCode>0.00%</c:formatCode>
                <c:ptCount val="2"/>
                <c:pt idx="0">
                  <c:v>8.8731299356494139E-2</c:v>
                </c:pt>
                <c:pt idx="1">
                  <c:v>0.57491039408683964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379-4491-886C-B51DF4401B02}"/>
            </c:ext>
          </c:extLst>
        </c:ser>
        <c:ser>
          <c:idx val="4"/>
          <c:order val="4"/>
          <c:tx>
            <c:v>Linia_sk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'Porównanie walidacji modeli'!$AL$37:$AL$38</c:f>
              <c:numCache>
                <c:formatCode>0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xVal>
          <c:yVal>
            <c:numRef>
              <c:f>'Porównanie walidacji modeli'!$AM$37:$AM$38</c:f>
              <c:numCache>
                <c:formatCode>0.00%</c:formatCode>
                <c:ptCount val="2"/>
                <c:pt idx="0">
                  <c:v>-0.14498353809622816</c:v>
                </c:pt>
                <c:pt idx="1">
                  <c:v>-0.35597255211007783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379-4491-886C-B51DF4401B02}"/>
            </c:ext>
          </c:extLst>
        </c:ser>
        <c:ser>
          <c:idx val="5"/>
          <c:order val="5"/>
          <c:tx>
            <c:v>Linia_dł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'Porównanie walidacji modeli'!$AL$39:$AL$40</c:f>
              <c:numCache>
                <c:formatCode>0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xVal>
          <c:yVal>
            <c:numRef>
              <c:f>'Porównanie walidacji modeli'!$AM$39:$AM$40</c:f>
              <c:numCache>
                <c:formatCode>0.00%</c:formatCode>
                <c:ptCount val="2"/>
                <c:pt idx="0">
                  <c:v>5.1908974160972107E-2</c:v>
                </c:pt>
                <c:pt idx="1">
                  <c:v>3.9772269087838268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379-4491-886C-B51DF4401B02}"/>
            </c:ext>
          </c:extLst>
        </c:ser>
        <c:ser>
          <c:idx val="6"/>
          <c:order val="6"/>
          <c:tx>
            <c:v>Etykiety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/>
              <c:tx>
                <c:rich>
                  <a:bodyPr/>
                  <a:lstStyle/>
                  <a:p>
                    <a:fld id="{8542C7EB-DF6E-4BB8-A1C9-22BED782A3D7}" type="CELLRANGE">
                      <a:rPr lang="en-US"/>
                      <a:pPr/>
                      <a:t>[ZAKRES KOMÓREK]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379-4491-886C-B51DF4401B02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60220732-B854-480B-AAEE-DA55B5B0942B}" type="CELLRANGE">
                      <a:rPr lang="en-US"/>
                      <a:pPr/>
                      <a:t>[ZAKRES KOMÓREK]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379-4491-886C-B51DF4401B02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68FE67E0-F233-4128-B53D-2D00249335E5}" type="CELLRANGE">
                      <a:rPr lang="en-US"/>
                      <a:pPr/>
                      <a:t>[ZAKRES KOMÓREK]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379-4491-886C-B51DF4401B02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363ED764-CDD4-4405-9D7B-8C7E217E5E64}" type="CELLRANGE">
                      <a:rPr lang="en-US"/>
                      <a:pPr/>
                      <a:t>[ZAKRES KOMÓREK]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379-4491-886C-B51DF4401B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0"/>
              </c:ext>
            </c:extLst>
          </c:dLbls>
          <c:xVal>
            <c:numRef>
              <c:f>'Porównanie walidacji modeli'!$AH$33:$AH$36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'Porównanie walidacji modeli'!$AI$33:$AI$36</c:f>
              <c:numCache>
                <c:formatCode>0.00%</c:formatCode>
                <c:ptCount val="4"/>
                <c:pt idx="0">
                  <c:v>-0.73597255211007784</c:v>
                </c:pt>
                <c:pt idx="1">
                  <c:v>-0.73597255211007784</c:v>
                </c:pt>
                <c:pt idx="2">
                  <c:v>-0.73597255211007784</c:v>
                </c:pt>
                <c:pt idx="3">
                  <c:v>-0.73597255211007784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'Porównanie walidacji modeli'!$X$5:$X$8</c15:f>
                <c15:dlblRangeCache>
                  <c:ptCount val="4"/>
                  <c:pt idx="0">
                    <c:v>Zmniejszenie próbkowania</c:v>
                  </c:pt>
                  <c:pt idx="1">
                    <c:v>Rozmycie izotropowe</c:v>
                  </c:pt>
                  <c:pt idx="2">
                    <c:v>Scalanie kolumn</c:v>
                  </c:pt>
                  <c:pt idx="3">
                    <c:v>Degradacje mieszane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E379-4491-886C-B51DF4401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164047"/>
        <c:axId val="188173199"/>
      </c:scatterChart>
      <c:valAx>
        <c:axId val="188164047"/>
        <c:scaling>
          <c:orientation val="minMax"/>
          <c:min val="0.5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73199"/>
        <c:crosses val="autoZero"/>
        <c:crossBetween val="midCat"/>
      </c:valAx>
      <c:valAx>
        <c:axId val="188173199"/>
        <c:scaling>
          <c:orientation val="minMax"/>
          <c:min val="-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Zmiana mAP50-95 </a:t>
                </a:r>
                <a:r>
                  <a:rPr lang="pl-PL" sz="1000" b="0" i="0" u="none" strike="noStrike" baseline="0">
                    <a:effectLst/>
                  </a:rPr>
                  <a:t>(</a:t>
                </a:r>
                <a:r>
                  <a:rPr lang="el-GR" sz="1000" b="0" i="0" u="none" strike="noStrike" baseline="0">
                    <a:effectLst/>
                  </a:rPr>
                  <a:t>Δ</a:t>
                </a:r>
                <a:r>
                  <a:rPr lang="pl-PL" sz="1000" b="0" i="0" u="none" strike="noStrike" baseline="0">
                    <a:effectLst/>
                  </a:rPr>
                  <a:t>)</a:t>
                </a:r>
                <a:endParaRPr lang="pl-PL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640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'Metryki na LQ w rozmiarach'!$U$36</c:f>
              <c:strCache>
                <c:ptCount val="1"/>
                <c:pt idx="0">
                  <c:v>Koszyk 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'Metryki na LQ w rozmiarach'!$T$37:$T$40</c:f>
              <c:strCache>
                <c:ptCount val="4"/>
                <c:pt idx="0">
                  <c:v>Zmniejszenie próbkowania</c:v>
                </c:pt>
                <c:pt idx="1">
                  <c:v>Rozmycie izotropowe</c:v>
                </c:pt>
                <c:pt idx="2">
                  <c:v>Scalanie kolumn</c:v>
                </c:pt>
                <c:pt idx="3">
                  <c:v>Degradacje mieszane</c:v>
                </c:pt>
              </c:strCache>
            </c:strRef>
          </c:cat>
          <c:val>
            <c:numRef>
              <c:f>'Metryki na LQ w rozmiarach'!$U$37:$U$40</c:f>
              <c:numCache>
                <c:formatCode>0.00</c:formatCode>
                <c:ptCount val="4"/>
                <c:pt idx="0">
                  <c:v>-0.14000000000000001</c:v>
                </c:pt>
                <c:pt idx="1">
                  <c:v>-0.03</c:v>
                </c:pt>
                <c:pt idx="2">
                  <c:v>0.18</c:v>
                </c:pt>
                <c:pt idx="3">
                  <c:v>-0.03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E92-489A-AE50-285F8C00D912}"/>
            </c:ext>
          </c:extLst>
        </c:ser>
        <c:ser>
          <c:idx val="1"/>
          <c:order val="1"/>
          <c:tx>
            <c:strRef>
              <c:f>'Metryki na LQ w rozmiarach'!$V$36</c:f>
              <c:strCache>
                <c:ptCount val="1"/>
                <c:pt idx="0">
                  <c:v>Koszyk 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'Metryki na LQ w rozmiarach'!$T$37:$T$40</c:f>
              <c:strCache>
                <c:ptCount val="4"/>
                <c:pt idx="0">
                  <c:v>Zmniejszenie próbkowania</c:v>
                </c:pt>
                <c:pt idx="1">
                  <c:v>Rozmycie izotropowe</c:v>
                </c:pt>
                <c:pt idx="2">
                  <c:v>Scalanie kolumn</c:v>
                </c:pt>
                <c:pt idx="3">
                  <c:v>Degradacje mieszane</c:v>
                </c:pt>
              </c:strCache>
            </c:strRef>
          </c:cat>
          <c:val>
            <c:numRef>
              <c:f>'Metryki na LQ w rozmiarach'!$V$37:$V$40</c:f>
              <c:numCache>
                <c:formatCode>0.00</c:formatCode>
                <c:ptCount val="4"/>
                <c:pt idx="0">
                  <c:v>-0.15</c:v>
                </c:pt>
                <c:pt idx="1">
                  <c:v>-0.17</c:v>
                </c:pt>
                <c:pt idx="2">
                  <c:v>-0.38</c:v>
                </c:pt>
                <c:pt idx="3">
                  <c:v>-0.11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E92-489A-AE50-285F8C00D912}"/>
            </c:ext>
          </c:extLst>
        </c:ser>
        <c:ser>
          <c:idx val="2"/>
          <c:order val="2"/>
          <c:tx>
            <c:strRef>
              <c:f>'Metryki na LQ w rozmiarach'!$W$36</c:f>
              <c:strCache>
                <c:ptCount val="1"/>
                <c:pt idx="0">
                  <c:v>Koszyk 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'Metryki na LQ w rozmiarach'!$T$37:$T$40</c:f>
              <c:strCache>
                <c:ptCount val="4"/>
                <c:pt idx="0">
                  <c:v>Zmniejszenie próbkowania</c:v>
                </c:pt>
                <c:pt idx="1">
                  <c:v>Rozmycie izotropowe</c:v>
                </c:pt>
                <c:pt idx="2">
                  <c:v>Scalanie kolumn</c:v>
                </c:pt>
                <c:pt idx="3">
                  <c:v>Degradacje mieszane</c:v>
                </c:pt>
              </c:strCache>
            </c:strRef>
          </c:cat>
          <c:val>
            <c:numRef>
              <c:f>'Metryki na LQ w rozmiarach'!$W$37:$W$40</c:f>
              <c:numCache>
                <c:formatCode>0.00</c:formatCode>
                <c:ptCount val="4"/>
                <c:pt idx="0">
                  <c:v>-0.03</c:v>
                </c:pt>
                <c:pt idx="1">
                  <c:v>-0.27</c:v>
                </c:pt>
                <c:pt idx="2">
                  <c:v>-0.4</c:v>
                </c:pt>
                <c:pt idx="3">
                  <c:v>-0.03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E92-489A-AE50-285F8C00D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5756752"/>
        <c:axId val="305753008"/>
      </c:lineChart>
      <c:catAx>
        <c:axId val="3057567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Scenariusz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753008"/>
        <c:crosses val="autoZero"/>
        <c:auto val="1"/>
        <c:lblAlgn val="ctr"/>
        <c:lblOffset val="100"/>
        <c:noMultiLvlLbl val="0"/>
      </c:catAx>
      <c:valAx>
        <c:axId val="30575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Zmiana precyzji (</a:t>
                </a:r>
                <a:r>
                  <a:rPr lang="el-GR" sz="1000" b="0" i="0" u="none" strike="noStrike" baseline="0"/>
                  <a:t>Δ)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756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  <a:alpha val="97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'Metryki na LQ w rozmiarach'!$U$43</c:f>
              <c:strCache>
                <c:ptCount val="1"/>
                <c:pt idx="0">
                  <c:v>Koszyk 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'Metryki na LQ w rozmiarach'!$T$44:$T$47</c:f>
              <c:strCache>
                <c:ptCount val="4"/>
                <c:pt idx="0">
                  <c:v>Zmniejszenie próbkowania</c:v>
                </c:pt>
                <c:pt idx="1">
                  <c:v>Rozmycie izotropowe</c:v>
                </c:pt>
                <c:pt idx="2">
                  <c:v>Scalanie kolumn</c:v>
                </c:pt>
                <c:pt idx="3">
                  <c:v>Degradacje mieszane</c:v>
                </c:pt>
              </c:strCache>
            </c:strRef>
          </c:cat>
          <c:val>
            <c:numRef>
              <c:f>'Metryki na LQ w rozmiarach'!$U$44:$U$47</c:f>
              <c:numCache>
                <c:formatCode>0.00</c:formatCode>
                <c:ptCount val="4"/>
                <c:pt idx="0">
                  <c:v>0.77</c:v>
                </c:pt>
                <c:pt idx="1">
                  <c:v>0.16</c:v>
                </c:pt>
                <c:pt idx="2">
                  <c:v>0.08</c:v>
                </c:pt>
                <c:pt idx="3">
                  <c:v>0.6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D68-497A-A2D9-E374A9595F86}"/>
            </c:ext>
          </c:extLst>
        </c:ser>
        <c:ser>
          <c:idx val="1"/>
          <c:order val="1"/>
          <c:tx>
            <c:strRef>
              <c:f>'Metryki na LQ w rozmiarach'!$V$43</c:f>
              <c:strCache>
                <c:ptCount val="1"/>
                <c:pt idx="0">
                  <c:v>Koszyk 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'Metryki na LQ w rozmiarach'!$T$44:$T$47</c:f>
              <c:strCache>
                <c:ptCount val="4"/>
                <c:pt idx="0">
                  <c:v>Zmniejszenie próbkowania</c:v>
                </c:pt>
                <c:pt idx="1">
                  <c:v>Rozmycie izotropowe</c:v>
                </c:pt>
                <c:pt idx="2">
                  <c:v>Scalanie kolumn</c:v>
                </c:pt>
                <c:pt idx="3">
                  <c:v>Degradacje mieszane</c:v>
                </c:pt>
              </c:strCache>
            </c:strRef>
          </c:cat>
          <c:val>
            <c:numRef>
              <c:f>'Metryki na LQ w rozmiarach'!$V$44:$V$47</c:f>
              <c:numCache>
                <c:formatCode>0.00</c:formatCode>
                <c:ptCount val="4"/>
                <c:pt idx="0">
                  <c:v>0.72</c:v>
                </c:pt>
                <c:pt idx="1">
                  <c:v>7.0000000000000007E-2</c:v>
                </c:pt>
                <c:pt idx="2">
                  <c:v>0.27</c:v>
                </c:pt>
                <c:pt idx="3">
                  <c:v>0.61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D68-497A-A2D9-E374A9595F86}"/>
            </c:ext>
          </c:extLst>
        </c:ser>
        <c:ser>
          <c:idx val="2"/>
          <c:order val="2"/>
          <c:tx>
            <c:strRef>
              <c:f>'Metryki na LQ w rozmiarach'!$W$43</c:f>
              <c:strCache>
                <c:ptCount val="1"/>
                <c:pt idx="0">
                  <c:v>Koszyk 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'Metryki na LQ w rozmiarach'!$T$44:$T$47</c:f>
              <c:strCache>
                <c:ptCount val="4"/>
                <c:pt idx="0">
                  <c:v>Zmniejszenie próbkowania</c:v>
                </c:pt>
                <c:pt idx="1">
                  <c:v>Rozmycie izotropowe</c:v>
                </c:pt>
                <c:pt idx="2">
                  <c:v>Scalanie kolumn</c:v>
                </c:pt>
                <c:pt idx="3">
                  <c:v>Degradacje mieszane</c:v>
                </c:pt>
              </c:strCache>
            </c:strRef>
          </c:cat>
          <c:val>
            <c:numRef>
              <c:f>'Metryki na LQ w rozmiarach'!$W$44:$W$47</c:f>
              <c:numCache>
                <c:formatCode>0.00</c:formatCode>
                <c:ptCount val="4"/>
                <c:pt idx="0">
                  <c:v>0.55000000000000004</c:v>
                </c:pt>
                <c:pt idx="1">
                  <c:v>0.09</c:v>
                </c:pt>
                <c:pt idx="2">
                  <c:v>0.23</c:v>
                </c:pt>
                <c:pt idx="3">
                  <c:v>0.56000000000000005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D68-497A-A2D9-E374A9595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239008"/>
        <c:axId val="93234016"/>
      </c:lineChart>
      <c:catAx>
        <c:axId val="93239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baseline="0">
                    <a:effectLst/>
                  </a:rPr>
                  <a:t>Scenariusz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34016"/>
        <c:crosses val="autoZero"/>
        <c:auto val="1"/>
        <c:lblAlgn val="ctr"/>
        <c:lblOffset val="100"/>
        <c:noMultiLvlLbl val="0"/>
      </c:catAx>
      <c:valAx>
        <c:axId val="9323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Zmiana </a:t>
                </a:r>
                <a:r>
                  <a:rPr lang="pl-PL" sz="1000" b="0" i="0" u="none" strike="noStrike" baseline="0"/>
                  <a:t>czułości</a:t>
                </a:r>
                <a:r>
                  <a:rPr lang="en-US" sz="1000" b="0" i="0" u="none" strike="noStrike" baseline="0"/>
                  <a:t> (</a:t>
                </a:r>
                <a:r>
                  <a:rPr lang="el-GR" sz="1000" b="0" i="0" u="none" strike="noStrike" baseline="0"/>
                  <a:t>Δ)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390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'Metryki na LQ w rozmiarach'!$T$51</c:f>
              <c:strCache>
                <c:ptCount val="1"/>
                <c:pt idx="0">
                  <c:v>Zmniejszenie próbkowania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'Metryki na LQ w rozmiarach'!$U$50:$W$50</c:f>
              <c:strCache>
                <c:ptCount val="3"/>
                <c:pt idx="0">
                  <c:v>Koszyk S</c:v>
                </c:pt>
                <c:pt idx="1">
                  <c:v>Koszyk M</c:v>
                </c:pt>
                <c:pt idx="2">
                  <c:v>Koszyk L</c:v>
                </c:pt>
              </c:strCache>
            </c:strRef>
          </c:cat>
          <c:val>
            <c:numRef>
              <c:f>'Metryki na LQ w rozmiarach'!$U$51:$W$51</c:f>
              <c:numCache>
                <c:formatCode>0.00</c:formatCode>
                <c:ptCount val="3"/>
                <c:pt idx="0">
                  <c:v>0.43</c:v>
                </c:pt>
                <c:pt idx="1">
                  <c:v>0.61</c:v>
                </c:pt>
                <c:pt idx="2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07-45CE-9AAF-E85F84709BA3}"/>
            </c:ext>
          </c:extLst>
        </c:ser>
        <c:ser>
          <c:idx val="1"/>
          <c:order val="1"/>
          <c:tx>
            <c:strRef>
              <c:f>'Metryki na LQ w rozmiarach'!$T$52</c:f>
              <c:strCache>
                <c:ptCount val="1"/>
                <c:pt idx="0">
                  <c:v>Rozmycie izotropowe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'Metryki na LQ w rozmiarach'!$U$50:$W$50</c:f>
              <c:strCache>
                <c:ptCount val="3"/>
                <c:pt idx="0">
                  <c:v>Koszyk S</c:v>
                </c:pt>
                <c:pt idx="1">
                  <c:v>Koszyk M</c:v>
                </c:pt>
                <c:pt idx="2">
                  <c:v>Koszyk L</c:v>
                </c:pt>
              </c:strCache>
            </c:strRef>
          </c:cat>
          <c:val>
            <c:numRef>
              <c:f>'Metryki na LQ w rozmiarach'!$U$52:$W$52</c:f>
              <c:numCache>
                <c:formatCode>0.00</c:formatCode>
                <c:ptCount val="3"/>
                <c:pt idx="0">
                  <c:v>0.2</c:v>
                </c:pt>
                <c:pt idx="1">
                  <c:v>0.1</c:v>
                </c:pt>
                <c:pt idx="2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07-45CE-9AAF-E85F84709BA3}"/>
            </c:ext>
          </c:extLst>
        </c:ser>
        <c:ser>
          <c:idx val="2"/>
          <c:order val="2"/>
          <c:tx>
            <c:strRef>
              <c:f>'Metryki na LQ w rozmiarach'!$T$53</c:f>
              <c:strCache>
                <c:ptCount val="1"/>
                <c:pt idx="0">
                  <c:v>Scalanie kolumn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'Metryki na LQ w rozmiarach'!$U$50:$W$50</c:f>
              <c:strCache>
                <c:ptCount val="3"/>
                <c:pt idx="0">
                  <c:v>Koszyk S</c:v>
                </c:pt>
                <c:pt idx="1">
                  <c:v>Koszyk M</c:v>
                </c:pt>
                <c:pt idx="2">
                  <c:v>Koszyk L</c:v>
                </c:pt>
              </c:strCache>
            </c:strRef>
          </c:cat>
          <c:val>
            <c:numRef>
              <c:f>'Metryki na LQ w rozmiarach'!$U$53:$W$53</c:f>
              <c:numCache>
                <c:formatCode>0.00</c:formatCode>
                <c:ptCount val="3"/>
                <c:pt idx="0">
                  <c:v>0.12</c:v>
                </c:pt>
                <c:pt idx="1">
                  <c:v>0.26</c:v>
                </c:pt>
                <c:pt idx="2">
                  <c:v>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07-45CE-9AAF-E85F84709BA3}"/>
            </c:ext>
          </c:extLst>
        </c:ser>
        <c:ser>
          <c:idx val="3"/>
          <c:order val="3"/>
          <c:tx>
            <c:strRef>
              <c:f>'Metryki na LQ w rozmiarach'!$T$54</c:f>
              <c:strCache>
                <c:ptCount val="1"/>
                <c:pt idx="0">
                  <c:v>Degradacje mieszane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'Metryki na LQ w rozmiarach'!$U$50:$W$50</c:f>
              <c:strCache>
                <c:ptCount val="3"/>
                <c:pt idx="0">
                  <c:v>Koszyk S</c:v>
                </c:pt>
                <c:pt idx="1">
                  <c:v>Koszyk M</c:v>
                </c:pt>
                <c:pt idx="2">
                  <c:v>Koszyk L</c:v>
                </c:pt>
              </c:strCache>
            </c:strRef>
          </c:cat>
          <c:val>
            <c:numRef>
              <c:f>'Metryki na LQ w rozmiarach'!$U$54:$W$54</c:f>
              <c:numCache>
                <c:formatCode>0.00</c:formatCode>
                <c:ptCount val="3"/>
                <c:pt idx="0">
                  <c:v>0.46</c:v>
                </c:pt>
                <c:pt idx="1">
                  <c:v>0.56999999999999995</c:v>
                </c:pt>
                <c:pt idx="2">
                  <c:v>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B0-4B5E-8F09-C009CE23C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772976"/>
        <c:axId val="178788784"/>
      </c:lineChart>
      <c:catAx>
        <c:axId val="17877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88784"/>
        <c:crosses val="autoZero"/>
        <c:auto val="1"/>
        <c:lblAlgn val="ctr"/>
        <c:lblOffset val="100"/>
        <c:noMultiLvlLbl val="0"/>
      </c:catAx>
      <c:valAx>
        <c:axId val="17878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Zmiana </a:t>
                </a:r>
                <a:r>
                  <a:rPr lang="pl-PL" sz="1000" b="0" i="0" u="none" strike="noStrike" baseline="0"/>
                  <a:t>F1</a:t>
                </a:r>
                <a:r>
                  <a:rPr lang="en-US" sz="1000" b="0" i="0" u="none" strike="noStrike" baseline="0"/>
                  <a:t> (</a:t>
                </a:r>
                <a:r>
                  <a:rPr lang="el-GR" sz="1000" b="0" i="0" u="none" strike="noStrike" baseline="0"/>
                  <a:t>Δ)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72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'Metryki na LQ w rozmiarach'!$V$20</c:f>
              <c:strCache>
                <c:ptCount val="1"/>
                <c:pt idx="0">
                  <c:v>ΔPrecyzja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'Metryki na LQ w rozmiarach'!$U$21:$U$32</c:f>
              <c:strCache>
                <c:ptCount val="12"/>
                <c:pt idx="0">
                  <c:v>Zmniejszenie próbkowania (S)</c:v>
                </c:pt>
                <c:pt idx="1">
                  <c:v>Zmniejszenie próbkowania (M)</c:v>
                </c:pt>
                <c:pt idx="2">
                  <c:v>Zmniejszenie próbkowania (L)</c:v>
                </c:pt>
                <c:pt idx="3">
                  <c:v>Rozmycie izotropowe (S)</c:v>
                </c:pt>
                <c:pt idx="4">
                  <c:v>Rozmycie izotropowe (M)</c:v>
                </c:pt>
                <c:pt idx="5">
                  <c:v>Rozmycie izotropowe (L)</c:v>
                </c:pt>
                <c:pt idx="6">
                  <c:v>Scalanie kolumn (S)</c:v>
                </c:pt>
                <c:pt idx="7">
                  <c:v>Scalanie kolumn (M)</c:v>
                </c:pt>
                <c:pt idx="8">
                  <c:v>Scalanie kolumn (L)</c:v>
                </c:pt>
                <c:pt idx="9">
                  <c:v>Degradacje mieszane (S)</c:v>
                </c:pt>
                <c:pt idx="10">
                  <c:v>Degradacje mieszane (M)</c:v>
                </c:pt>
                <c:pt idx="11">
                  <c:v>Degradacje mieszane (L)</c:v>
                </c:pt>
              </c:strCache>
            </c:strRef>
          </c:cat>
          <c:val>
            <c:numRef>
              <c:f>'Metryki na LQ w rozmiarach'!$V$21:$V$32</c:f>
              <c:numCache>
                <c:formatCode>0.00</c:formatCode>
                <c:ptCount val="12"/>
                <c:pt idx="0">
                  <c:v>-0.14000000000000001</c:v>
                </c:pt>
                <c:pt idx="1">
                  <c:v>-0.15</c:v>
                </c:pt>
                <c:pt idx="2">
                  <c:v>-0.03</c:v>
                </c:pt>
                <c:pt idx="3">
                  <c:v>0.05</c:v>
                </c:pt>
                <c:pt idx="4">
                  <c:v>-0.17</c:v>
                </c:pt>
                <c:pt idx="5">
                  <c:v>-0.27</c:v>
                </c:pt>
                <c:pt idx="6">
                  <c:v>0.18</c:v>
                </c:pt>
                <c:pt idx="7">
                  <c:v>-0.38</c:v>
                </c:pt>
                <c:pt idx="8">
                  <c:v>-0.4</c:v>
                </c:pt>
                <c:pt idx="9">
                  <c:v>-0.03</c:v>
                </c:pt>
                <c:pt idx="10">
                  <c:v>-0.11</c:v>
                </c:pt>
                <c:pt idx="11">
                  <c:v>-0.03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85-4805-B1D9-29A09AA6E8D2}"/>
            </c:ext>
          </c:extLst>
        </c:ser>
        <c:ser>
          <c:idx val="1"/>
          <c:order val="1"/>
          <c:tx>
            <c:strRef>
              <c:f>'Metryki na LQ w rozmiarach'!$W$20</c:f>
              <c:strCache>
                <c:ptCount val="1"/>
                <c:pt idx="0">
                  <c:v>ΔCzułość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'Metryki na LQ w rozmiarach'!$U$21:$U$32</c:f>
              <c:strCache>
                <c:ptCount val="12"/>
                <c:pt idx="0">
                  <c:v>Zmniejszenie próbkowania (S)</c:v>
                </c:pt>
                <c:pt idx="1">
                  <c:v>Zmniejszenie próbkowania (M)</c:v>
                </c:pt>
                <c:pt idx="2">
                  <c:v>Zmniejszenie próbkowania (L)</c:v>
                </c:pt>
                <c:pt idx="3">
                  <c:v>Rozmycie izotropowe (S)</c:v>
                </c:pt>
                <c:pt idx="4">
                  <c:v>Rozmycie izotropowe (M)</c:v>
                </c:pt>
                <c:pt idx="5">
                  <c:v>Rozmycie izotropowe (L)</c:v>
                </c:pt>
                <c:pt idx="6">
                  <c:v>Scalanie kolumn (S)</c:v>
                </c:pt>
                <c:pt idx="7">
                  <c:v>Scalanie kolumn (M)</c:v>
                </c:pt>
                <c:pt idx="8">
                  <c:v>Scalanie kolumn (L)</c:v>
                </c:pt>
                <c:pt idx="9">
                  <c:v>Degradacje mieszane (S)</c:v>
                </c:pt>
                <c:pt idx="10">
                  <c:v>Degradacje mieszane (M)</c:v>
                </c:pt>
                <c:pt idx="11">
                  <c:v>Degradacje mieszane (L)</c:v>
                </c:pt>
              </c:strCache>
            </c:strRef>
          </c:cat>
          <c:val>
            <c:numRef>
              <c:f>'Metryki na LQ w rozmiarach'!$W$21:$W$32</c:f>
              <c:numCache>
                <c:formatCode>0.00</c:formatCode>
                <c:ptCount val="12"/>
                <c:pt idx="0">
                  <c:v>0.77</c:v>
                </c:pt>
                <c:pt idx="1">
                  <c:v>0.72</c:v>
                </c:pt>
                <c:pt idx="2">
                  <c:v>0.55000000000000004</c:v>
                </c:pt>
                <c:pt idx="3">
                  <c:v>0.16</c:v>
                </c:pt>
                <c:pt idx="4">
                  <c:v>7.0000000000000007E-2</c:v>
                </c:pt>
                <c:pt idx="5">
                  <c:v>0.09</c:v>
                </c:pt>
                <c:pt idx="6">
                  <c:v>0.08</c:v>
                </c:pt>
                <c:pt idx="7">
                  <c:v>0.27</c:v>
                </c:pt>
                <c:pt idx="8">
                  <c:v>0.23</c:v>
                </c:pt>
                <c:pt idx="9">
                  <c:v>0.6</c:v>
                </c:pt>
                <c:pt idx="10">
                  <c:v>0.61</c:v>
                </c:pt>
                <c:pt idx="11">
                  <c:v>0.56000000000000005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85-4805-B1D9-29A09AA6E8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2422159"/>
        <c:axId val="362425071"/>
      </c:barChart>
      <c:catAx>
        <c:axId val="36242215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425071"/>
        <c:crosses val="autoZero"/>
        <c:auto val="1"/>
        <c:lblAlgn val="ctr"/>
        <c:lblOffset val="0"/>
        <c:noMultiLvlLbl val="0"/>
      </c:catAx>
      <c:valAx>
        <c:axId val="362425071"/>
        <c:scaling>
          <c:orientation val="minMax"/>
          <c:max val="0.85000000000000009"/>
          <c:min val="-0.4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Zmiana metryk względem</a:t>
                </a:r>
                <a:r>
                  <a:rPr lang="pl-PL" baseline="0"/>
                  <a:t> scenariusza bazowego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422159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74519</xdr:colOff>
      <xdr:row>13</xdr:row>
      <xdr:rowOff>19610</xdr:rowOff>
    </xdr:from>
    <xdr:to>
      <xdr:col>29</xdr:col>
      <xdr:colOff>560872</xdr:colOff>
      <xdr:row>28</xdr:row>
      <xdr:rowOff>150110</xdr:rowOff>
    </xdr:to>
    <xdr:graphicFrame macro="">
      <xdr:nvGraphicFramePr>
        <xdr:cNvPr id="6" name="Wykres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78441</xdr:colOff>
      <xdr:row>42</xdr:row>
      <xdr:rowOff>22412</xdr:rowOff>
    </xdr:from>
    <xdr:to>
      <xdr:col>29</xdr:col>
      <xdr:colOff>564794</xdr:colOff>
      <xdr:row>57</xdr:row>
      <xdr:rowOff>152912</xdr:rowOff>
    </xdr:to>
    <xdr:graphicFrame macro="">
      <xdr:nvGraphicFramePr>
        <xdr:cNvPr id="7" name="Wykres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156884</xdr:colOff>
      <xdr:row>13</xdr:row>
      <xdr:rowOff>11206</xdr:rowOff>
    </xdr:from>
    <xdr:to>
      <xdr:col>38</xdr:col>
      <xdr:colOff>497561</xdr:colOff>
      <xdr:row>28</xdr:row>
      <xdr:rowOff>141706</xdr:rowOff>
    </xdr:to>
    <xdr:graphicFrame macro="">
      <xdr:nvGraphicFramePr>
        <xdr:cNvPr id="8" name="Wykres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156882</xdr:colOff>
      <xdr:row>42</xdr:row>
      <xdr:rowOff>33616</xdr:rowOff>
    </xdr:from>
    <xdr:to>
      <xdr:col>38</xdr:col>
      <xdr:colOff>497559</xdr:colOff>
      <xdr:row>57</xdr:row>
      <xdr:rowOff>164116</xdr:rowOff>
    </xdr:to>
    <xdr:graphicFrame macro="">
      <xdr:nvGraphicFramePr>
        <xdr:cNvPr id="9" name="Wykres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0.91389</cdr:x>
      <cdr:y>0.06058</cdr:y>
    </cdr:from>
    <cdr:to>
      <cdr:x>0.97397</cdr:x>
      <cdr:y>0.16123</cdr:y>
    </cdr:to>
    <cdr:sp macro="" textlink="">
      <cdr:nvSpPr>
        <cdr:cNvPr id="2" name="pole tekstowe 1"/>
        <cdr:cNvSpPr txBox="1"/>
      </cdr:nvSpPr>
      <cdr:spPr>
        <a:xfrm xmlns:a="http://schemas.openxmlformats.org/drawingml/2006/main">
          <a:off x="4721597" y="182094"/>
          <a:ext cx="310403" cy="3025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l-PL" sz="1100"/>
            <a:t>a)</a:t>
          </a:r>
          <a:endParaRPr lang="en-US" sz="11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0.91212</cdr:x>
      <cdr:y>0.08005</cdr:y>
    </cdr:from>
    <cdr:to>
      <cdr:x>0.9722</cdr:x>
      <cdr:y>0.18042</cdr:y>
    </cdr:to>
    <cdr:sp macro="" textlink="">
      <cdr:nvSpPr>
        <cdr:cNvPr id="2" name="pole tekstowe 1"/>
        <cdr:cNvSpPr txBox="1"/>
      </cdr:nvSpPr>
      <cdr:spPr>
        <a:xfrm xmlns:a="http://schemas.openxmlformats.org/drawingml/2006/main">
          <a:off x="4712447" y="241299"/>
          <a:ext cx="310403" cy="3025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l-PL" sz="1100"/>
            <a:t>b)</a:t>
          </a:r>
          <a:endParaRPr lang="en-US" sz="11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0.91121</cdr:x>
      <cdr:y>0.08284</cdr:y>
    </cdr:from>
    <cdr:to>
      <cdr:x>0.97052</cdr:x>
      <cdr:y>0.18211</cdr:y>
    </cdr:to>
    <cdr:sp macro="" textlink="">
      <cdr:nvSpPr>
        <cdr:cNvPr id="2" name="pole tekstowe 1"/>
        <cdr:cNvSpPr txBox="1"/>
      </cdr:nvSpPr>
      <cdr:spPr>
        <a:xfrm xmlns:a="http://schemas.openxmlformats.org/drawingml/2006/main">
          <a:off x="4768476" y="252506"/>
          <a:ext cx="310403" cy="3025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l-PL" sz="1100"/>
            <a:t>c)</a:t>
          </a:r>
          <a:endParaRPr lang="en-US" sz="110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0.91121</cdr:x>
      <cdr:y>0.08005</cdr:y>
    </cdr:from>
    <cdr:to>
      <cdr:x>0.97052</cdr:x>
      <cdr:y>0.18042</cdr:y>
    </cdr:to>
    <cdr:sp macro="" textlink="">
      <cdr:nvSpPr>
        <cdr:cNvPr id="2" name="pole tekstowe 1"/>
        <cdr:cNvSpPr txBox="1"/>
      </cdr:nvSpPr>
      <cdr:spPr>
        <a:xfrm xmlns:a="http://schemas.openxmlformats.org/drawingml/2006/main">
          <a:off x="4768476" y="241300"/>
          <a:ext cx="310403" cy="3025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l-PL" sz="1100"/>
            <a:t>d)</a:t>
          </a:r>
          <a:endParaRPr lang="en-US" sz="1100"/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514350</xdr:colOff>
      <xdr:row>31</xdr:row>
      <xdr:rowOff>28574</xdr:rowOff>
    </xdr:from>
    <xdr:to>
      <xdr:col>18</xdr:col>
      <xdr:colOff>250875</xdr:colOff>
      <xdr:row>46</xdr:row>
      <xdr:rowOff>51074</xdr:rowOff>
    </xdr:to>
    <xdr:graphicFrame macro="">
      <xdr:nvGraphicFramePr>
        <xdr:cNvPr id="15" name="Wykres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495300</xdr:colOff>
      <xdr:row>46</xdr:row>
      <xdr:rowOff>133349</xdr:rowOff>
    </xdr:from>
    <xdr:to>
      <xdr:col>18</xdr:col>
      <xdr:colOff>231825</xdr:colOff>
      <xdr:row>61</xdr:row>
      <xdr:rowOff>155849</xdr:rowOff>
    </xdr:to>
    <xdr:graphicFrame macro="">
      <xdr:nvGraphicFramePr>
        <xdr:cNvPr id="16" name="Wykres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552450</xdr:colOff>
      <xdr:row>62</xdr:row>
      <xdr:rowOff>57150</xdr:rowOff>
    </xdr:from>
    <xdr:to>
      <xdr:col>18</xdr:col>
      <xdr:colOff>231825</xdr:colOff>
      <xdr:row>77</xdr:row>
      <xdr:rowOff>79650</xdr:rowOff>
    </xdr:to>
    <xdr:graphicFrame macro="">
      <xdr:nvGraphicFramePr>
        <xdr:cNvPr id="17" name="Wykres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123825</xdr:colOff>
      <xdr:row>7</xdr:row>
      <xdr:rowOff>171450</xdr:rowOff>
    </xdr:from>
    <xdr:to>
      <xdr:col>18</xdr:col>
      <xdr:colOff>171450</xdr:colOff>
      <xdr:row>30</xdr:row>
      <xdr:rowOff>0</xdr:rowOff>
    </xdr:to>
    <xdr:graphicFrame macro="">
      <xdr:nvGraphicFramePr>
        <xdr:cNvPr id="2" name="Wykres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creater_sizes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creater_sizes_2" connectionId="8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creater_sizes_10" connectionId="23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creater_sizes_6" connectionId="16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creater_sizes_7" connectionId="10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creater_sizes_4" connectionId="20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creater_sizes_8" connectionId="4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name="creater_sizes_5" connectionId="22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name="creater_sizes_11" connectionId="28" autoFormatId="16" applyNumberFormats="0" applyBorderFormats="0" applyFontFormats="0" applyPatternFormats="0" applyAlignmentFormats="0" applyWidthHeightFormats="0"/>
</file>

<file path=xl/queryTables/queryTable10.xml><?xml version="1.0" encoding="utf-8"?>
<queryTable xmlns="http://schemas.openxmlformats.org/spreadsheetml/2006/main" name="creater_sizes_12" connectionId="5" autoFormatId="16" applyNumberFormats="0" applyBorderFormats="0" applyFontFormats="0" applyPatternFormats="0" applyAlignmentFormats="0" applyWidthHeightFormats="0"/>
</file>

<file path=xl/queryTables/queryTable11.xml><?xml version="1.0" encoding="utf-8"?>
<queryTable xmlns="http://schemas.openxmlformats.org/spreadsheetml/2006/main" name="creater_sizes_1" connectionId="2" autoFormatId="16" applyNumberFormats="0" applyBorderFormats="0" applyFontFormats="0" applyPatternFormats="0" applyAlignmentFormats="0" applyWidthHeightFormats="0"/>
</file>

<file path=xl/queryTables/queryTable12.xml><?xml version="1.0" encoding="utf-8"?>
<queryTable xmlns="http://schemas.openxmlformats.org/spreadsheetml/2006/main" name="creater_sizes_14" connectionId="17" autoFormatId="16" applyNumberFormats="0" applyBorderFormats="0" applyFontFormats="0" applyPatternFormats="0" applyAlignmentFormats="0" applyWidthHeightFormats="0"/>
</file>

<file path=xl/queryTables/queryTable13.xml><?xml version="1.0" encoding="utf-8"?>
<queryTable xmlns="http://schemas.openxmlformats.org/spreadsheetml/2006/main" name="creater_sizes_3" connectionId="14" autoFormatId="16" applyNumberFormats="0" applyBorderFormats="0" applyFontFormats="0" applyPatternFormats="0" applyAlignmentFormats="0" applyWidthHeightFormats="0"/>
</file>

<file path=xl/queryTables/queryTable14.xml><?xml version="1.0" encoding="utf-8"?>
<queryTable xmlns="http://schemas.openxmlformats.org/spreadsheetml/2006/main" name="creater_sizes_9" connectionId="27" autoFormatId="16" applyNumberFormats="0" applyBorderFormats="0" applyFontFormats="0" applyPatternFormats="0" applyAlignmentFormats="0" applyWidthHeightFormats="0"/>
</file>

<file path=xl/queryTables/queryTable15.xml><?xml version="1.0" encoding="utf-8"?>
<queryTable xmlns="http://schemas.openxmlformats.org/spreadsheetml/2006/main" name="creater_sizes_13" connectionId="1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mAP@50-95" TargetMode="External"/><Relationship Id="rId1" Type="http://schemas.openxmlformats.org/officeDocument/2006/relationships/hyperlink" Target="mailto:mAP@50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7.xml"/><Relationship Id="rId13" Type="http://schemas.openxmlformats.org/officeDocument/2006/relationships/queryTable" Target="../queryTables/queryTable12.xml"/><Relationship Id="rId3" Type="http://schemas.openxmlformats.org/officeDocument/2006/relationships/queryTable" Target="../queryTables/queryTable2.xml"/><Relationship Id="rId7" Type="http://schemas.openxmlformats.org/officeDocument/2006/relationships/queryTable" Target="../queryTables/queryTable6.xml"/><Relationship Id="rId12" Type="http://schemas.openxmlformats.org/officeDocument/2006/relationships/queryTable" Target="../queryTables/queryTable11.xml"/><Relationship Id="rId2" Type="http://schemas.openxmlformats.org/officeDocument/2006/relationships/queryTable" Target="../queryTables/queryTable1.xml"/><Relationship Id="rId16" Type="http://schemas.openxmlformats.org/officeDocument/2006/relationships/queryTable" Target="../queryTables/queryTable15.xml"/><Relationship Id="rId1" Type="http://schemas.openxmlformats.org/officeDocument/2006/relationships/drawing" Target="../drawings/drawing6.xml"/><Relationship Id="rId6" Type="http://schemas.openxmlformats.org/officeDocument/2006/relationships/queryTable" Target="../queryTables/queryTable5.xml"/><Relationship Id="rId11" Type="http://schemas.openxmlformats.org/officeDocument/2006/relationships/queryTable" Target="../queryTables/queryTable10.xml"/><Relationship Id="rId5" Type="http://schemas.openxmlformats.org/officeDocument/2006/relationships/queryTable" Target="../queryTables/queryTable4.xml"/><Relationship Id="rId15" Type="http://schemas.openxmlformats.org/officeDocument/2006/relationships/queryTable" Target="../queryTables/queryTable14.xml"/><Relationship Id="rId10" Type="http://schemas.openxmlformats.org/officeDocument/2006/relationships/queryTable" Target="../queryTables/queryTable9.xml"/><Relationship Id="rId4" Type="http://schemas.openxmlformats.org/officeDocument/2006/relationships/queryTable" Target="../queryTables/queryTable3.xml"/><Relationship Id="rId9" Type="http://schemas.openxmlformats.org/officeDocument/2006/relationships/queryTable" Target="../queryTables/queryTable8.xml"/><Relationship Id="rId14" Type="http://schemas.openxmlformats.org/officeDocument/2006/relationships/queryTable" Target="../queryTables/query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zoomScale="115" zoomScaleNormal="115" workbookViewId="0">
      <selection activeCell="C32" sqref="C32"/>
    </sheetView>
  </sheetViews>
  <sheetFormatPr defaultRowHeight="15" x14ac:dyDescent="0.25"/>
  <cols>
    <col min="1" max="1" width="15.7109375" customWidth="1"/>
    <col min="2" max="2" width="9.7109375" customWidth="1"/>
    <col min="3" max="3" width="22.42578125" customWidth="1"/>
    <col min="4" max="4" width="14" style="17" customWidth="1"/>
    <col min="5" max="5" width="10.7109375" style="17" customWidth="1"/>
    <col min="6" max="6" width="10.28515625" style="17" customWidth="1"/>
    <col min="7" max="7" width="10.140625" style="17" customWidth="1"/>
    <col min="8" max="8" width="14" style="24" customWidth="1"/>
    <col min="9" max="9" width="20.140625" customWidth="1"/>
  </cols>
  <sheetData>
    <row r="1" spans="1:8" ht="18" x14ac:dyDescent="0.25">
      <c r="A1" s="2" t="s">
        <v>10</v>
      </c>
    </row>
    <row r="3" spans="1:8" ht="30" x14ac:dyDescent="0.25">
      <c r="A3" s="1" t="s">
        <v>8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4" t="s">
        <v>9</v>
      </c>
    </row>
    <row r="4" spans="1:8" x14ac:dyDescent="0.25">
      <c r="A4" s="5" t="s">
        <v>11</v>
      </c>
      <c r="B4" s="26" t="s">
        <v>6</v>
      </c>
      <c r="C4" s="6" t="s">
        <v>18</v>
      </c>
      <c r="D4" s="25">
        <v>0.59587928539432899</v>
      </c>
      <c r="E4" s="26">
        <v>66.88</v>
      </c>
      <c r="F4" s="25">
        <v>1.1399999999999999</v>
      </c>
      <c r="G4" s="26">
        <v>65.87</v>
      </c>
      <c r="H4" s="27" t="s">
        <v>65</v>
      </c>
    </row>
    <row r="5" spans="1:8" x14ac:dyDescent="0.25">
      <c r="A5" s="5" t="s">
        <v>12</v>
      </c>
      <c r="B5" s="26" t="s">
        <v>6</v>
      </c>
      <c r="C5" s="6" t="s">
        <v>19</v>
      </c>
      <c r="D5" s="25">
        <v>0.58256255764199005</v>
      </c>
      <c r="E5" s="26">
        <v>65.09</v>
      </c>
      <c r="F5" s="25">
        <v>1.7</v>
      </c>
      <c r="G5" s="26">
        <v>66.61</v>
      </c>
      <c r="H5" s="27" t="s">
        <v>66</v>
      </c>
    </row>
    <row r="6" spans="1:8" x14ac:dyDescent="0.25">
      <c r="A6" s="5" t="s">
        <v>13</v>
      </c>
      <c r="B6" s="26" t="s">
        <v>6</v>
      </c>
      <c r="C6" s="6" t="s">
        <v>20</v>
      </c>
      <c r="D6" s="25">
        <v>0.59140474594205605</v>
      </c>
      <c r="E6" s="28">
        <v>64.94</v>
      </c>
      <c r="F6" s="25">
        <v>1.1399999999999999</v>
      </c>
      <c r="G6" s="26">
        <v>63.95</v>
      </c>
      <c r="H6" s="27" t="s">
        <v>67</v>
      </c>
    </row>
    <row r="7" spans="1:8" x14ac:dyDescent="0.25">
      <c r="A7" s="5" t="s">
        <v>14</v>
      </c>
      <c r="B7" s="26" t="s">
        <v>6</v>
      </c>
      <c r="C7" s="6" t="s">
        <v>21</v>
      </c>
      <c r="D7" s="25">
        <v>0.58876450802762803</v>
      </c>
      <c r="E7" s="26">
        <v>62.88</v>
      </c>
      <c r="F7" s="25">
        <v>1.7</v>
      </c>
      <c r="G7" s="26">
        <v>64.42</v>
      </c>
      <c r="H7" s="27" t="s">
        <v>68</v>
      </c>
    </row>
    <row r="8" spans="1:8" x14ac:dyDescent="0.25">
      <c r="A8" s="5" t="s">
        <v>15</v>
      </c>
      <c r="B8" s="26" t="s">
        <v>6</v>
      </c>
      <c r="C8" s="6" t="s">
        <v>22</v>
      </c>
      <c r="D8" s="25">
        <v>0.49227418493164998</v>
      </c>
      <c r="E8" s="26">
        <v>64.34</v>
      </c>
      <c r="F8" s="25">
        <v>1.1399999999999999</v>
      </c>
      <c r="G8" s="26">
        <v>63.27</v>
      </c>
      <c r="H8" s="27" t="s">
        <v>69</v>
      </c>
    </row>
    <row r="9" spans="1:8" x14ac:dyDescent="0.25">
      <c r="A9" s="6" t="s">
        <v>16</v>
      </c>
      <c r="B9" s="26" t="s">
        <v>6</v>
      </c>
      <c r="C9" s="6" t="s">
        <v>23</v>
      </c>
      <c r="D9" s="25">
        <v>0.49439722050231499</v>
      </c>
      <c r="E9" s="26">
        <v>64.91</v>
      </c>
      <c r="F9" s="25">
        <v>1.69</v>
      </c>
      <c r="G9" s="26">
        <v>66.45</v>
      </c>
      <c r="H9" s="29" t="s">
        <v>70</v>
      </c>
    </row>
    <row r="10" spans="1:8" x14ac:dyDescent="0.25">
      <c r="A10" s="6" t="s">
        <v>17</v>
      </c>
      <c r="B10" s="26" t="s">
        <v>6</v>
      </c>
      <c r="C10" s="6" t="s">
        <v>24</v>
      </c>
      <c r="D10" s="25">
        <v>0.49933420700105502</v>
      </c>
      <c r="E10" s="26">
        <v>65.180000000000007</v>
      </c>
      <c r="F10" s="25">
        <v>1.1399999999999999</v>
      </c>
      <c r="G10" s="26">
        <v>64.11</v>
      </c>
      <c r="H10" s="29" t="s">
        <v>64</v>
      </c>
    </row>
    <row r="11" spans="1:8" x14ac:dyDescent="0.25">
      <c r="A11" s="6" t="s">
        <v>25</v>
      </c>
      <c r="B11" s="26" t="s">
        <v>7</v>
      </c>
      <c r="C11" s="6" t="s">
        <v>26</v>
      </c>
      <c r="D11" s="25">
        <v>2.18856679415771</v>
      </c>
      <c r="E11" s="26">
        <v>71.08</v>
      </c>
      <c r="F11" s="25">
        <v>1.74</v>
      </c>
      <c r="G11" s="26">
        <v>72.78</v>
      </c>
      <c r="H11" s="29" t="s">
        <v>71</v>
      </c>
    </row>
    <row r="12" spans="1:8" x14ac:dyDescent="0.25">
      <c r="A12" s="5" t="s">
        <v>27</v>
      </c>
      <c r="B12" s="26" t="s">
        <v>7</v>
      </c>
      <c r="C12" s="6" t="s">
        <v>28</v>
      </c>
      <c r="D12" s="30">
        <v>2.1245861832302002</v>
      </c>
      <c r="E12" s="26">
        <v>71.47</v>
      </c>
      <c r="F12" s="25">
        <v>1.18</v>
      </c>
      <c r="G12" s="28">
        <v>70.34</v>
      </c>
      <c r="H12" s="29" t="s">
        <v>72</v>
      </c>
    </row>
    <row r="13" spans="1:8" x14ac:dyDescent="0.25">
      <c r="A13" s="6" t="s">
        <v>29</v>
      </c>
      <c r="B13" s="26" t="s">
        <v>7</v>
      </c>
      <c r="C13" s="6" t="s">
        <v>30</v>
      </c>
      <c r="D13" s="25">
        <v>2.1095564090528698</v>
      </c>
      <c r="E13" s="26">
        <v>70.81</v>
      </c>
      <c r="F13" s="25">
        <v>1.74</v>
      </c>
      <c r="G13" s="26">
        <v>72.52</v>
      </c>
      <c r="H13" s="29" t="s">
        <v>73</v>
      </c>
    </row>
    <row r="14" spans="1:8" x14ac:dyDescent="0.25">
      <c r="D14" s="31"/>
      <c r="E14" s="31"/>
      <c r="F14" s="31"/>
      <c r="G14" s="31"/>
    </row>
    <row r="15" spans="1:8" x14ac:dyDescent="0.25">
      <c r="D15" s="31"/>
      <c r="E15" s="31"/>
      <c r="F15" s="31"/>
      <c r="G15" s="31"/>
    </row>
    <row r="16" spans="1:8" x14ac:dyDescent="0.25">
      <c r="D16" s="31"/>
      <c r="E16" s="31"/>
      <c r="F16" s="31"/>
      <c r="G16" s="31"/>
    </row>
    <row r="17" spans="4:7" x14ac:dyDescent="0.25">
      <c r="D17" s="31"/>
      <c r="E17" s="31"/>
      <c r="F17" s="31"/>
      <c r="G17" s="31"/>
    </row>
    <row r="18" spans="4:7" x14ac:dyDescent="0.25">
      <c r="D18" s="31"/>
      <c r="E18" s="31"/>
      <c r="F18" s="31"/>
      <c r="G18" s="31"/>
    </row>
    <row r="19" spans="4:7" x14ac:dyDescent="0.25">
      <c r="D19" s="31"/>
      <c r="E19" s="31"/>
      <c r="F19" s="31"/>
      <c r="G19" s="31"/>
    </row>
    <row r="20" spans="4:7" x14ac:dyDescent="0.25">
      <c r="D20" s="31"/>
      <c r="E20" s="31"/>
      <c r="F20" s="31"/>
      <c r="G20" s="31"/>
    </row>
    <row r="21" spans="4:7" x14ac:dyDescent="0.25">
      <c r="D21" s="31"/>
      <c r="E21" s="31"/>
      <c r="F21" s="31"/>
      <c r="G21" s="31"/>
    </row>
    <row r="22" spans="4:7" x14ac:dyDescent="0.25">
      <c r="D22" s="31"/>
      <c r="E22" s="31"/>
      <c r="F22" s="31"/>
      <c r="G22" s="31"/>
    </row>
    <row r="23" spans="4:7" x14ac:dyDescent="0.25">
      <c r="D23" s="31"/>
      <c r="E23" s="31"/>
      <c r="F23" s="31"/>
      <c r="G23" s="31"/>
    </row>
    <row r="24" spans="4:7" x14ac:dyDescent="0.25">
      <c r="D24" s="31"/>
      <c r="E24" s="31"/>
      <c r="F24" s="31"/>
      <c r="G24" s="31"/>
    </row>
    <row r="25" spans="4:7" x14ac:dyDescent="0.25">
      <c r="D25" s="31"/>
      <c r="E25" s="31"/>
      <c r="F25" s="31"/>
      <c r="G25" s="3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zoomScale="115" zoomScaleNormal="115" workbookViewId="0">
      <selection activeCell="D25" sqref="D25"/>
    </sheetView>
  </sheetViews>
  <sheetFormatPr defaultRowHeight="15" x14ac:dyDescent="0.25"/>
  <cols>
    <col min="1" max="1" width="16.42578125" customWidth="1"/>
    <col min="2" max="2" width="20.5703125" style="3" customWidth="1"/>
    <col min="3" max="3" width="16.85546875" customWidth="1"/>
    <col min="4" max="4" width="18.140625" customWidth="1"/>
    <col min="5" max="5" width="15.28515625" customWidth="1"/>
  </cols>
  <sheetData>
    <row r="1" spans="1:6" ht="23.25" x14ac:dyDescent="0.35">
      <c r="A1" s="7" t="s">
        <v>31</v>
      </c>
    </row>
    <row r="3" spans="1:6" s="12" customFormat="1" ht="45" x14ac:dyDescent="0.25">
      <c r="A3" s="1" t="s">
        <v>8</v>
      </c>
      <c r="B3" s="1" t="s">
        <v>32</v>
      </c>
      <c r="C3" s="11" t="s">
        <v>38</v>
      </c>
      <c r="D3" s="11" t="s">
        <v>39</v>
      </c>
      <c r="E3" s="11" t="s">
        <v>37</v>
      </c>
      <c r="F3" s="11" t="s">
        <v>40</v>
      </c>
    </row>
    <row r="4" spans="1:6" x14ac:dyDescent="0.25">
      <c r="A4" s="5" t="s">
        <v>11</v>
      </c>
      <c r="B4" s="3">
        <f>ROUND(0.597325,2)</f>
        <v>0.6</v>
      </c>
      <c r="C4" s="9">
        <f>ROUND(300/B4,0)</f>
        <v>500</v>
      </c>
      <c r="D4" s="9">
        <f t="shared" ref="D4:D9" si="0">32*(ROUNDUP(C4/32,0))</f>
        <v>512</v>
      </c>
      <c r="E4">
        <f>ROUND(640/D4,2)</f>
        <v>1.25</v>
      </c>
      <c r="F4">
        <v>163</v>
      </c>
    </row>
    <row r="5" spans="1:6" x14ac:dyDescent="0.25">
      <c r="A5" s="5" t="s">
        <v>12</v>
      </c>
      <c r="B5" s="3">
        <f>ROUND(0.586184,2)</f>
        <v>0.59</v>
      </c>
      <c r="C5" s="9">
        <f t="shared" ref="C5:C13" si="1">ROUND(300/B5,0)</f>
        <v>508</v>
      </c>
      <c r="D5" s="9">
        <f t="shared" si="0"/>
        <v>512</v>
      </c>
      <c r="E5">
        <f t="shared" ref="E5:E13" si="2">ROUND(640/D5,2)</f>
        <v>1.25</v>
      </c>
      <c r="F5">
        <v>164</v>
      </c>
    </row>
    <row r="6" spans="1:6" x14ac:dyDescent="0.25">
      <c r="A6" s="5" t="s">
        <v>13</v>
      </c>
      <c r="B6" s="3">
        <f>ROUND(0.585841,)</f>
        <v>1</v>
      </c>
      <c r="C6" s="9">
        <f t="shared" si="1"/>
        <v>300</v>
      </c>
      <c r="D6" s="9">
        <f t="shared" si="0"/>
        <v>320</v>
      </c>
      <c r="E6">
        <f t="shared" si="2"/>
        <v>2</v>
      </c>
      <c r="F6">
        <v>1000</v>
      </c>
    </row>
    <row r="7" spans="1:6" x14ac:dyDescent="0.25">
      <c r="A7" s="5" t="s">
        <v>14</v>
      </c>
      <c r="B7" s="3">
        <f>ROUND(0.621436,2)</f>
        <v>0.62</v>
      </c>
      <c r="C7" s="9">
        <f t="shared" si="1"/>
        <v>484</v>
      </c>
      <c r="D7" s="9">
        <f t="shared" si="0"/>
        <v>512</v>
      </c>
      <c r="E7">
        <f t="shared" si="2"/>
        <v>1.25</v>
      </c>
      <c r="F7">
        <v>1051</v>
      </c>
    </row>
    <row r="8" spans="1:6" x14ac:dyDescent="0.25">
      <c r="A8" s="5" t="s">
        <v>15</v>
      </c>
      <c r="B8" s="3">
        <f>ROUND(0.49097,2)</f>
        <v>0.49</v>
      </c>
      <c r="C8" s="9">
        <f t="shared" si="1"/>
        <v>612</v>
      </c>
      <c r="D8" s="9">
        <f t="shared" si="0"/>
        <v>640</v>
      </c>
      <c r="E8">
        <f t="shared" si="2"/>
        <v>1</v>
      </c>
      <c r="F8">
        <v>273</v>
      </c>
    </row>
    <row r="9" spans="1:6" x14ac:dyDescent="0.25">
      <c r="A9" s="6" t="s">
        <v>16</v>
      </c>
      <c r="B9" s="3">
        <f>ROUND(0.49188,2)</f>
        <v>0.49</v>
      </c>
      <c r="C9" s="9">
        <f t="shared" si="1"/>
        <v>612</v>
      </c>
      <c r="D9" s="9">
        <f t="shared" si="0"/>
        <v>640</v>
      </c>
      <c r="E9">
        <f t="shared" si="2"/>
        <v>1</v>
      </c>
      <c r="F9">
        <v>753</v>
      </c>
    </row>
    <row r="10" spans="1:6" x14ac:dyDescent="0.25">
      <c r="A10" s="6" t="s">
        <v>17</v>
      </c>
      <c r="B10" s="3">
        <f>ROUND(0.484771,2)</f>
        <v>0.48</v>
      </c>
      <c r="C10" s="9">
        <f t="shared" si="1"/>
        <v>625</v>
      </c>
      <c r="D10" s="9">
        <f>32*(ROUNDUP(C10/32,0))</f>
        <v>640</v>
      </c>
      <c r="E10">
        <f t="shared" si="2"/>
        <v>1</v>
      </c>
      <c r="F10">
        <v>71</v>
      </c>
    </row>
    <row r="11" spans="1:6" x14ac:dyDescent="0.25">
      <c r="A11" s="6" t="s">
        <v>25</v>
      </c>
      <c r="B11" s="3">
        <f>ROUND(1.659975,2)</f>
        <v>1.66</v>
      </c>
      <c r="C11" s="9">
        <f t="shared" si="1"/>
        <v>181</v>
      </c>
      <c r="D11" s="9">
        <f t="shared" ref="D11:D13" si="3">32*(ROUNDUP(C11/32,0))</f>
        <v>192</v>
      </c>
      <c r="E11">
        <f t="shared" si="2"/>
        <v>3.33</v>
      </c>
      <c r="F11">
        <v>165</v>
      </c>
    </row>
    <row r="12" spans="1:6" x14ac:dyDescent="0.25">
      <c r="A12" s="5" t="s">
        <v>27</v>
      </c>
      <c r="B12" s="3">
        <f>ROUND(1.611597,2)</f>
        <v>1.61</v>
      </c>
      <c r="C12" s="9">
        <f t="shared" si="1"/>
        <v>186</v>
      </c>
      <c r="D12" s="9">
        <f t="shared" si="3"/>
        <v>192</v>
      </c>
      <c r="E12">
        <f t="shared" si="2"/>
        <v>3.33</v>
      </c>
      <c r="F12">
        <v>326</v>
      </c>
    </row>
    <row r="13" spans="1:6" x14ac:dyDescent="0.25">
      <c r="A13" s="6" t="s">
        <v>29</v>
      </c>
      <c r="B13" s="3">
        <f>ROUND(1.627002,2)</f>
        <v>1.63</v>
      </c>
      <c r="C13" s="9">
        <f t="shared" si="1"/>
        <v>184</v>
      </c>
      <c r="D13" s="9">
        <f t="shared" si="3"/>
        <v>192</v>
      </c>
      <c r="E13">
        <f t="shared" si="2"/>
        <v>3.33</v>
      </c>
      <c r="F13">
        <v>325</v>
      </c>
    </row>
    <row r="15" spans="1:6" x14ac:dyDescent="0.25">
      <c r="B15" s="10"/>
    </row>
    <row r="17" spans="1:2" x14ac:dyDescent="0.25">
      <c r="B17" s="8"/>
    </row>
    <row r="18" spans="1:2" x14ac:dyDescent="0.25">
      <c r="B18" s="8"/>
    </row>
    <row r="19" spans="1:2" x14ac:dyDescent="0.25">
      <c r="B19" s="8"/>
    </row>
    <row r="20" spans="1:2" x14ac:dyDescent="0.25">
      <c r="A20" t="s">
        <v>33</v>
      </c>
      <c r="B20" s="3">
        <f>AVERAGE(B4:B10)</f>
        <v>0.61</v>
      </c>
    </row>
    <row r="21" spans="1:2" x14ac:dyDescent="0.25">
      <c r="A21" t="s">
        <v>34</v>
      </c>
      <c r="B21" s="3">
        <f>AVERAGE(B11:B13)</f>
        <v>1.6333333333333335</v>
      </c>
    </row>
    <row r="22" spans="1:2" x14ac:dyDescent="0.25">
      <c r="B22" s="8"/>
    </row>
    <row r="24" spans="1:2" x14ac:dyDescent="0.25">
      <c r="A24" t="s">
        <v>35</v>
      </c>
      <c r="B24" s="3">
        <f>MAX(B4:B10)/MIN(B11:B13)</f>
        <v>0.6211180124223602</v>
      </c>
    </row>
    <row r="25" spans="1:2" x14ac:dyDescent="0.25">
      <c r="A25" t="s">
        <v>36</v>
      </c>
      <c r="B25" s="3">
        <f>MIN(B4:B10)/MAX(B11:B13)</f>
        <v>0.28915662650602408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0"/>
  <sheetViews>
    <sheetView topLeftCell="G1" zoomScale="85" zoomScaleNormal="85" workbookViewId="0">
      <selection activeCell="S30" sqref="S30"/>
    </sheetView>
  </sheetViews>
  <sheetFormatPr defaultRowHeight="15" x14ac:dyDescent="0.25"/>
  <cols>
    <col min="1" max="1" width="26.140625" customWidth="1"/>
    <col min="6" max="6" width="10.42578125" customWidth="1"/>
    <col min="13" max="13" width="10.28515625" customWidth="1"/>
    <col min="16" max="16" width="25.5703125" bestFit="1" customWidth="1"/>
    <col min="18" max="18" width="10.42578125" customWidth="1"/>
    <col min="19" max="19" width="10.5703125" customWidth="1"/>
    <col min="20" max="20" width="10.42578125" customWidth="1"/>
    <col min="21" max="21" width="12.140625" customWidth="1"/>
    <col min="24" max="24" width="26.7109375" bestFit="1" customWidth="1"/>
    <col min="25" max="25" width="6.28515625" bestFit="1" customWidth="1"/>
    <col min="26" max="26" width="7.85546875" customWidth="1"/>
    <col min="27" max="27" width="9.28515625" customWidth="1"/>
    <col min="28" max="28" width="10.7109375" customWidth="1"/>
    <col min="33" max="33" width="26.7109375" bestFit="1" customWidth="1"/>
  </cols>
  <sheetData>
    <row r="1" spans="1:39" ht="23.25" x14ac:dyDescent="0.35">
      <c r="A1" s="7" t="s">
        <v>60</v>
      </c>
    </row>
    <row r="4" spans="1:39" x14ac:dyDescent="0.25">
      <c r="A4" s="15" t="s">
        <v>48</v>
      </c>
      <c r="B4" s="15" t="s">
        <v>0</v>
      </c>
      <c r="C4" s="15" t="s">
        <v>53</v>
      </c>
      <c r="D4" s="15" t="s">
        <v>54</v>
      </c>
      <c r="E4" s="13" t="s">
        <v>59</v>
      </c>
      <c r="F4" s="15" t="s">
        <v>61</v>
      </c>
      <c r="I4" s="22" t="s">
        <v>0</v>
      </c>
      <c r="J4" s="22" t="s">
        <v>53</v>
      </c>
      <c r="K4" s="22" t="s">
        <v>54</v>
      </c>
      <c r="L4" s="22" t="s">
        <v>59</v>
      </c>
      <c r="M4" s="22" t="s">
        <v>61</v>
      </c>
      <c r="P4" s="15" t="s">
        <v>48</v>
      </c>
      <c r="Q4" s="15" t="s">
        <v>0</v>
      </c>
      <c r="R4" s="15" t="s">
        <v>56</v>
      </c>
      <c r="S4" s="15" t="s">
        <v>57</v>
      </c>
      <c r="T4" s="15" t="s">
        <v>63</v>
      </c>
      <c r="U4" s="15" t="s">
        <v>62</v>
      </c>
      <c r="X4" s="15" t="s">
        <v>48</v>
      </c>
      <c r="Y4" s="15" t="s">
        <v>83</v>
      </c>
      <c r="Z4" s="15" t="s">
        <v>80</v>
      </c>
      <c r="AA4" s="15" t="s">
        <v>6</v>
      </c>
      <c r="AB4" s="15" t="s">
        <v>7</v>
      </c>
      <c r="AC4" s="15" t="s">
        <v>81</v>
      </c>
      <c r="AD4" s="15" t="s">
        <v>82</v>
      </c>
      <c r="AG4" s="15" t="s">
        <v>48</v>
      </c>
      <c r="AH4" s="15" t="s">
        <v>83</v>
      </c>
      <c r="AI4" s="15" t="s">
        <v>80</v>
      </c>
      <c r="AJ4" s="15" t="s">
        <v>6</v>
      </c>
      <c r="AK4" s="15" t="s">
        <v>7</v>
      </c>
      <c r="AL4" s="15" t="s">
        <v>81</v>
      </c>
      <c r="AM4" s="15" t="s">
        <v>82</v>
      </c>
    </row>
    <row r="5" spans="1:39" x14ac:dyDescent="0.25">
      <c r="A5" s="19" t="s">
        <v>49</v>
      </c>
      <c r="B5" s="20" t="s">
        <v>6</v>
      </c>
      <c r="C5" s="21">
        <v>0.75995799404126396</v>
      </c>
      <c r="D5" s="21">
        <v>0.75903614457831303</v>
      </c>
      <c r="E5" s="21">
        <v>0.79762583741197302</v>
      </c>
      <c r="F5" s="21">
        <v>0.50433843829828395</v>
      </c>
      <c r="I5" s="33" t="s">
        <v>6</v>
      </c>
      <c r="J5" s="23">
        <f>ROUND(0.759957994041264,3)</f>
        <v>0.76</v>
      </c>
      <c r="K5" s="23">
        <f>ROUND(0.759036144578313,3)</f>
        <v>0.75900000000000001</v>
      </c>
      <c r="L5" s="23">
        <f>ROUND(0.797625837411973,3)</f>
        <v>0.79800000000000004</v>
      </c>
      <c r="M5" s="23">
        <f>ROUND(0.504338438298284,3)</f>
        <v>0.504</v>
      </c>
      <c r="P5" t="s">
        <v>85</v>
      </c>
      <c r="Q5" s="17" t="s">
        <v>6</v>
      </c>
      <c r="R5" s="18">
        <f>(C7-$J$5)/$J$5</f>
        <v>-4.4864586214922376E-2</v>
      </c>
      <c r="S5" s="18">
        <f>(D7-$K$5)/$K$5</f>
        <v>1.7948910672371459E-2</v>
      </c>
      <c r="T5" s="18">
        <f>(E7-$L$5)/$L$5</f>
        <v>3.6021074538602642E-2</v>
      </c>
      <c r="U5" s="18">
        <f>(F7-$M$5)/$M$5</f>
        <v>4.5718648213859056E-2</v>
      </c>
      <c r="X5" t="s">
        <v>85</v>
      </c>
      <c r="Y5" s="17">
        <v>1</v>
      </c>
      <c r="Z5" s="35">
        <f>MIN($AA$5:$AB$8)-1%</f>
        <v>-0.28592643218061181</v>
      </c>
      <c r="AA5" s="18">
        <v>-4.4864586214922376E-2</v>
      </c>
      <c r="AB5" s="18">
        <v>0.24831661785313733</v>
      </c>
      <c r="AC5" s="34">
        <f>Y5</f>
        <v>1</v>
      </c>
      <c r="AD5" s="18">
        <f>AA5</f>
        <v>-4.4864586214922376E-2</v>
      </c>
      <c r="AG5" t="s">
        <v>85</v>
      </c>
      <c r="AH5" s="17">
        <v>1</v>
      </c>
      <c r="AI5" s="35">
        <f>MIN($AJ$5:$AK$8)-31%</f>
        <v>-0.3849286187770114</v>
      </c>
      <c r="AJ5" s="18">
        <v>3.6021074538602642E-2</v>
      </c>
      <c r="AK5" s="18">
        <v>1.899023224865569</v>
      </c>
      <c r="AL5" s="34">
        <f>AH5</f>
        <v>1</v>
      </c>
      <c r="AM5" s="18">
        <f>AJ5</f>
        <v>3.6021074538602642E-2</v>
      </c>
    </row>
    <row r="6" spans="1:39" x14ac:dyDescent="0.25">
      <c r="A6" s="19" t="s">
        <v>49</v>
      </c>
      <c r="B6" s="20" t="s">
        <v>7</v>
      </c>
      <c r="C6" s="21">
        <v>0.54612367336679901</v>
      </c>
      <c r="D6" s="21">
        <v>0.228440890919474</v>
      </c>
      <c r="E6" s="21">
        <v>0.26029666976078703</v>
      </c>
      <c r="F6" s="21">
        <v>8.1417102195645005E-2</v>
      </c>
      <c r="I6" s="33" t="s">
        <v>7</v>
      </c>
      <c r="J6" s="23">
        <f>ROUND(0.546123673366799,3)</f>
        <v>0.54600000000000004</v>
      </c>
      <c r="K6" s="23">
        <f>ROUND(0.228440890919474,3)</f>
        <v>0.22800000000000001</v>
      </c>
      <c r="L6" s="23">
        <f>ROUND(0.260296669760787,3)</f>
        <v>0.26</v>
      </c>
      <c r="M6" s="23">
        <f>ROUND(0.081417102195645,3)</f>
        <v>8.1000000000000003E-2</v>
      </c>
      <c r="P6" t="s">
        <v>85</v>
      </c>
      <c r="Q6" s="17" t="s">
        <v>7</v>
      </c>
      <c r="R6" s="18">
        <f>(C8-$J$6)/$J$6</f>
        <v>0.24831661785313733</v>
      </c>
      <c r="S6" s="18">
        <f>(D8-$K$6)/$K$6</f>
        <v>2.0239624696879037</v>
      </c>
      <c r="T6" s="18">
        <f>(E8-$L$6)/$L$6</f>
        <v>1.899023224865569</v>
      </c>
      <c r="U6" s="18">
        <f>(F8-$M$6)/$M$6</f>
        <v>4.5079599717251355</v>
      </c>
      <c r="X6" t="s">
        <v>74</v>
      </c>
      <c r="Y6" s="17">
        <v>2</v>
      </c>
      <c r="Z6" s="35">
        <f t="shared" ref="Z6:Z8" si="0">MIN($AA$5:$AB$8)-1%</f>
        <v>-0.28592643218061181</v>
      </c>
      <c r="AA6" s="18">
        <v>4.5827154474381866E-3</v>
      </c>
      <c r="AB6" s="18">
        <v>-0.1997633493290239</v>
      </c>
      <c r="AC6" s="34">
        <f>Y5</f>
        <v>1</v>
      </c>
      <c r="AD6" s="18">
        <f>AB5</f>
        <v>0.24831661785313733</v>
      </c>
      <c r="AG6" t="s">
        <v>74</v>
      </c>
      <c r="AH6" s="17">
        <v>2</v>
      </c>
      <c r="AI6" s="35">
        <f t="shared" ref="AI6:AI8" si="1">MIN($AJ$5:$AK$8)-31%</f>
        <v>-0.3849286187770114</v>
      </c>
      <c r="AJ6" s="18">
        <v>6.3229734812736763E-2</v>
      </c>
      <c r="AK6" s="18">
        <v>0.15809703700931527</v>
      </c>
      <c r="AL6" s="34">
        <f>AH5</f>
        <v>1</v>
      </c>
      <c r="AM6" s="18">
        <f>AK5</f>
        <v>1.899023224865569</v>
      </c>
    </row>
    <row r="7" spans="1:39" x14ac:dyDescent="0.25">
      <c r="A7" t="s">
        <v>85</v>
      </c>
      <c r="B7" s="17" t="s">
        <v>6</v>
      </c>
      <c r="C7" s="21">
        <v>0.725902914476659</v>
      </c>
      <c r="D7" s="16">
        <v>0.77262322320032994</v>
      </c>
      <c r="E7" s="16">
        <v>0.82674481748180495</v>
      </c>
      <c r="F7" s="16">
        <v>0.52704219869978497</v>
      </c>
      <c r="P7" t="s">
        <v>74</v>
      </c>
      <c r="Q7" s="17" t="s">
        <v>6</v>
      </c>
      <c r="R7" s="18">
        <f>(C9-$J$5)/$J$5</f>
        <v>4.5827154474381866E-3</v>
      </c>
      <c r="S7" s="18">
        <f>(D9-$K$5)/$K$5</f>
        <v>4.7668936616029042E-2</v>
      </c>
      <c r="T7" s="18">
        <f>(E9-$L$5)/$L$5</f>
        <v>6.3229734812736763E-2</v>
      </c>
      <c r="U7" s="18">
        <f>(F9-$M$5)/$M$5</f>
        <v>8.8731299356494139E-2</v>
      </c>
      <c r="X7" t="s">
        <v>50</v>
      </c>
      <c r="Y7" s="17">
        <v>3</v>
      </c>
      <c r="Z7" s="35">
        <f t="shared" si="0"/>
        <v>-0.28592643218061181</v>
      </c>
      <c r="AA7" s="18">
        <v>-8.0320909626405285E-2</v>
      </c>
      <c r="AB7" s="18">
        <v>-0.2759264321806118</v>
      </c>
      <c r="AC7" s="34">
        <f>Y6</f>
        <v>2</v>
      </c>
      <c r="AD7" s="18">
        <f>AA6</f>
        <v>4.5827154474381866E-3</v>
      </c>
      <c r="AG7" t="s">
        <v>50</v>
      </c>
      <c r="AH7" s="17">
        <v>3</v>
      </c>
      <c r="AI7" s="35">
        <f t="shared" si="1"/>
        <v>-0.3849286187770114</v>
      </c>
      <c r="AJ7" s="18">
        <v>-7.4928618777011388E-2</v>
      </c>
      <c r="AK7" s="18">
        <v>-7.3656107730099993E-2</v>
      </c>
      <c r="AL7" s="34">
        <f>AH6</f>
        <v>2</v>
      </c>
      <c r="AM7" s="18">
        <f>AJ6</f>
        <v>6.3229734812736763E-2</v>
      </c>
    </row>
    <row r="8" spans="1:39" x14ac:dyDescent="0.25">
      <c r="A8" t="s">
        <v>85</v>
      </c>
      <c r="B8" s="17" t="s">
        <v>7</v>
      </c>
      <c r="C8" s="16">
        <v>0.68158087334781303</v>
      </c>
      <c r="D8" s="16">
        <v>0.689463443088842</v>
      </c>
      <c r="E8" s="16">
        <v>0.75374603846504795</v>
      </c>
      <c r="F8" s="16">
        <v>0.446144757709736</v>
      </c>
      <c r="P8" t="s">
        <v>74</v>
      </c>
      <c r="Q8" s="17" t="s">
        <v>7</v>
      </c>
      <c r="R8" s="18">
        <f>(C10-$J$6)/$J$6</f>
        <v>-0.1997633493290239</v>
      </c>
      <c r="S8" s="18">
        <f>(D10-$K$6)/$K$6</f>
        <v>0.46031841454006128</v>
      </c>
      <c r="T8" s="18">
        <f>(E10-$L$6)/$L$6</f>
        <v>0.15809703700931527</v>
      </c>
      <c r="U8" s="18">
        <f>(F10-$M$6)/$M$6</f>
        <v>0.57491039408683964</v>
      </c>
      <c r="X8" t="s">
        <v>84</v>
      </c>
      <c r="Y8" s="17">
        <v>4</v>
      </c>
      <c r="Z8" s="35">
        <f t="shared" si="0"/>
        <v>-0.28592643218061181</v>
      </c>
      <c r="AA8" s="18">
        <v>1.4035673399938112E-2</v>
      </c>
      <c r="AB8" s="18">
        <v>0.20352189552526356</v>
      </c>
      <c r="AC8" s="34">
        <f>Y6</f>
        <v>2</v>
      </c>
      <c r="AD8" s="18">
        <f>AB6</f>
        <v>-0.1997633493290239</v>
      </c>
      <c r="AG8" t="s">
        <v>84</v>
      </c>
      <c r="AH8" s="17">
        <v>4</v>
      </c>
      <c r="AI8" s="35">
        <f t="shared" si="1"/>
        <v>-0.3849286187770114</v>
      </c>
      <c r="AJ8" s="18">
        <v>3.800963360395232E-2</v>
      </c>
      <c r="AK8" s="18">
        <v>1.7615033682025305</v>
      </c>
      <c r="AL8" s="34">
        <f>AH6</f>
        <v>2</v>
      </c>
      <c r="AM8" s="18">
        <f>AK6</f>
        <v>0.15809703700931527</v>
      </c>
    </row>
    <row r="9" spans="1:39" x14ac:dyDescent="0.25">
      <c r="A9" t="s">
        <v>74</v>
      </c>
      <c r="B9" s="17" t="s">
        <v>6</v>
      </c>
      <c r="C9" s="16">
        <v>0.76348286374005303</v>
      </c>
      <c r="D9" s="16">
        <v>0.79518072289156605</v>
      </c>
      <c r="E9" s="16">
        <v>0.84845732838056398</v>
      </c>
      <c r="F9" s="16">
        <v>0.54872057487567305</v>
      </c>
      <c r="P9" t="s">
        <v>50</v>
      </c>
      <c r="Q9" s="17" t="s">
        <v>6</v>
      </c>
      <c r="R9" s="18">
        <f>(C11-$J$5)/$J$5</f>
        <v>-8.0320909626405285E-2</v>
      </c>
      <c r="S9" s="18">
        <f>(D11-$K$5)/$K$5</f>
        <v>-0.10993494021257308</v>
      </c>
      <c r="T9" s="18">
        <f>(E11-$L$5)/$L$5</f>
        <v>-7.4928618777011388E-2</v>
      </c>
      <c r="U9" s="18">
        <f>(F11-$M$5)/$M$5</f>
        <v>-0.14498353809622816</v>
      </c>
      <c r="AC9" s="34">
        <f>Y7</f>
        <v>3</v>
      </c>
      <c r="AD9" s="18">
        <f>AA7</f>
        <v>-8.0320909626405285E-2</v>
      </c>
      <c r="AL9" s="34">
        <f>AH7</f>
        <v>3</v>
      </c>
      <c r="AM9" s="18">
        <f>AJ7</f>
        <v>-7.4928618777011388E-2</v>
      </c>
    </row>
    <row r="10" spans="1:39" x14ac:dyDescent="0.25">
      <c r="A10" t="s">
        <v>74</v>
      </c>
      <c r="B10" s="17" t="s">
        <v>7</v>
      </c>
      <c r="C10" s="16">
        <v>0.43692921126635298</v>
      </c>
      <c r="D10" s="16">
        <v>0.33295259851513398</v>
      </c>
      <c r="E10" s="16">
        <v>0.30110522962242198</v>
      </c>
      <c r="F10" s="16">
        <v>0.12756774192103401</v>
      </c>
      <c r="P10" t="s">
        <v>50</v>
      </c>
      <c r="Q10" s="17" t="s">
        <v>7</v>
      </c>
      <c r="R10" s="18">
        <f>(C12-$J$6)/$J$6</f>
        <v>-0.2759264321806118</v>
      </c>
      <c r="S10" s="18">
        <f>(D12-$K$6)/$K$6</f>
        <v>0.59557946837396036</v>
      </c>
      <c r="T10" s="18">
        <f>(E12-$L$6)/$L$6</f>
        <v>-7.3656107730099993E-2</v>
      </c>
      <c r="U10" s="18">
        <f>(F12-$M$6)/$M$6</f>
        <v>-0.35597255211007783</v>
      </c>
      <c r="Y10" s="17"/>
      <c r="Z10" s="17"/>
      <c r="AC10" s="34">
        <f>Y7</f>
        <v>3</v>
      </c>
      <c r="AD10" s="18">
        <f>AB7</f>
        <v>-0.2759264321806118</v>
      </c>
      <c r="AH10" s="17"/>
      <c r="AI10" s="17"/>
      <c r="AL10" s="34">
        <f>AH7</f>
        <v>3</v>
      </c>
      <c r="AM10" s="18">
        <f>AK7</f>
        <v>-7.3656107730099993E-2</v>
      </c>
    </row>
    <row r="11" spans="1:39" x14ac:dyDescent="0.25">
      <c r="A11" t="s">
        <v>50</v>
      </c>
      <c r="B11" s="17" t="s">
        <v>6</v>
      </c>
      <c r="C11" s="16">
        <v>0.69895610868393199</v>
      </c>
      <c r="D11" s="16">
        <v>0.67555938037865704</v>
      </c>
      <c r="E11" s="16">
        <v>0.73820696221594495</v>
      </c>
      <c r="F11" s="16">
        <v>0.43092829679950101</v>
      </c>
      <c r="P11" t="s">
        <v>84</v>
      </c>
      <c r="Q11" s="17" t="s">
        <v>6</v>
      </c>
      <c r="R11" s="18">
        <f>(C13-$J$5)/$J$5</f>
        <v>1.4035673399938112E-2</v>
      </c>
      <c r="S11" s="18">
        <f>(D13-$K$5)/$K$5</f>
        <v>2.0938509024440652E-3</v>
      </c>
      <c r="T11" s="18">
        <f>(E13-$L$5)/$L$5</f>
        <v>3.800963360395232E-2</v>
      </c>
      <c r="U11" s="18">
        <f>(F13-$M$5)/$M$5</f>
        <v>5.1908974160972107E-2</v>
      </c>
      <c r="AC11" s="34">
        <f>Y8</f>
        <v>4</v>
      </c>
      <c r="AD11" s="18">
        <f>AA8</f>
        <v>1.4035673399938112E-2</v>
      </c>
      <c r="AL11" s="34">
        <f>AH8</f>
        <v>4</v>
      </c>
      <c r="AM11" s="18">
        <f>AJ8</f>
        <v>3.800963360395232E-2</v>
      </c>
    </row>
    <row r="12" spans="1:39" x14ac:dyDescent="0.25">
      <c r="A12" t="s">
        <v>50</v>
      </c>
      <c r="B12" s="17" t="s">
        <v>7</v>
      </c>
      <c r="C12" s="16">
        <v>0.39534416802938599</v>
      </c>
      <c r="D12" s="16">
        <v>0.36379211878926299</v>
      </c>
      <c r="E12" s="16">
        <v>0.24084941199017401</v>
      </c>
      <c r="F12" s="16">
        <v>5.2166223279083698E-2</v>
      </c>
      <c r="P12" t="s">
        <v>84</v>
      </c>
      <c r="Q12" s="17" t="s">
        <v>7</v>
      </c>
      <c r="R12" s="18">
        <f>(C14-$J$6)/$J$6</f>
        <v>0.20352189552526356</v>
      </c>
      <c r="S12" s="18">
        <f>(D14-$K$6)/$K$6</f>
        <v>2.1736250964361186</v>
      </c>
      <c r="T12" s="18">
        <f>(E14-$L$6)/$L$6</f>
        <v>1.7615033682025305</v>
      </c>
      <c r="U12" s="18">
        <f>(F14-$M$6)/$M$6</f>
        <v>3.9772269087838268</v>
      </c>
      <c r="Y12" s="17"/>
      <c r="Z12" s="17"/>
      <c r="AC12" s="34">
        <f>Y8</f>
        <v>4</v>
      </c>
      <c r="AD12" s="18">
        <f>AB8</f>
        <v>0.20352189552526356</v>
      </c>
      <c r="AH12" s="17"/>
      <c r="AI12" s="17"/>
      <c r="AL12" s="34">
        <f>AH8</f>
        <v>4</v>
      </c>
      <c r="AM12" s="18">
        <f>AK8</f>
        <v>1.7615033682025305</v>
      </c>
    </row>
    <row r="13" spans="1:39" x14ac:dyDescent="0.25">
      <c r="A13" t="s">
        <v>84</v>
      </c>
      <c r="B13" s="17" t="s">
        <v>6</v>
      </c>
      <c r="C13" s="16">
        <v>0.77066711178395297</v>
      </c>
      <c r="D13" s="16">
        <v>0.76058923283495505</v>
      </c>
      <c r="E13" s="16">
        <v>0.82833168761595399</v>
      </c>
      <c r="F13" s="16">
        <v>0.53016212297712995</v>
      </c>
    </row>
    <row r="14" spans="1:39" x14ac:dyDescent="0.25">
      <c r="A14" t="s">
        <v>84</v>
      </c>
      <c r="B14" s="17" t="s">
        <v>7</v>
      </c>
      <c r="C14" s="16">
        <v>0.65712295495679396</v>
      </c>
      <c r="D14" s="16">
        <v>0.72358652198743501</v>
      </c>
      <c r="E14" s="16">
        <v>0.71799087573265796</v>
      </c>
      <c r="F14" s="16">
        <v>0.40315537961149001</v>
      </c>
      <c r="Y14" s="17"/>
      <c r="Z14" s="17"/>
      <c r="AC14" s="16"/>
      <c r="AD14" s="16"/>
    </row>
    <row r="15" spans="1:39" x14ac:dyDescent="0.25">
      <c r="P15" s="13"/>
    </row>
    <row r="16" spans="1:39" x14ac:dyDescent="0.25">
      <c r="P16" s="15"/>
      <c r="Q16" s="15"/>
      <c r="R16" s="15"/>
      <c r="S16" s="15"/>
      <c r="T16" s="15"/>
      <c r="U16" s="15"/>
    </row>
    <row r="17" spans="1:39" x14ac:dyDescent="0.25">
      <c r="A17" s="13"/>
      <c r="Q17" s="17"/>
      <c r="R17" s="18"/>
      <c r="S17" s="18"/>
      <c r="T17" s="18"/>
      <c r="U17" s="18"/>
    </row>
    <row r="18" spans="1:39" x14ac:dyDescent="0.25">
      <c r="A18" s="15"/>
      <c r="B18" s="15"/>
      <c r="C18" s="15"/>
      <c r="D18" s="15"/>
      <c r="E18" s="13"/>
      <c r="F18" s="15"/>
      <c r="Q18" s="17"/>
      <c r="R18" s="18"/>
      <c r="S18" s="18"/>
      <c r="T18" s="18"/>
      <c r="U18" s="18"/>
    </row>
    <row r="19" spans="1:39" x14ac:dyDescent="0.25">
      <c r="A19" s="19"/>
      <c r="B19" s="20"/>
      <c r="C19" s="21"/>
      <c r="D19" s="21"/>
      <c r="E19" s="21"/>
      <c r="F19" s="21"/>
      <c r="Q19" s="17"/>
      <c r="R19" s="18"/>
      <c r="S19" s="18"/>
      <c r="T19" s="18"/>
      <c r="U19" s="18"/>
    </row>
    <row r="20" spans="1:39" x14ac:dyDescent="0.25">
      <c r="A20" s="19"/>
      <c r="B20" s="20"/>
      <c r="C20" s="21"/>
      <c r="D20" s="21"/>
      <c r="E20" s="21"/>
      <c r="F20" s="21"/>
      <c r="Q20" s="17"/>
      <c r="R20" s="18"/>
      <c r="S20" s="18"/>
      <c r="T20" s="18"/>
      <c r="U20" s="18"/>
    </row>
    <row r="21" spans="1:39" x14ac:dyDescent="0.25">
      <c r="B21" s="17"/>
      <c r="C21" s="21"/>
      <c r="D21" s="21"/>
      <c r="E21" s="21"/>
      <c r="F21" s="21"/>
      <c r="Q21" s="17"/>
      <c r="R21" s="18"/>
      <c r="S21" s="18"/>
      <c r="T21" s="18"/>
      <c r="U21" s="18"/>
    </row>
    <row r="22" spans="1:39" x14ac:dyDescent="0.25">
      <c r="B22" s="17"/>
      <c r="C22" s="21"/>
      <c r="D22" s="21"/>
      <c r="E22" s="21"/>
      <c r="F22" s="21"/>
      <c r="Q22" s="17"/>
      <c r="R22" s="18"/>
      <c r="S22" s="18"/>
      <c r="T22" s="18"/>
      <c r="U22" s="18"/>
    </row>
    <row r="23" spans="1:39" x14ac:dyDescent="0.25">
      <c r="B23" s="17"/>
      <c r="C23" s="21"/>
      <c r="D23" s="21"/>
      <c r="E23" s="21"/>
      <c r="F23" s="21"/>
      <c r="Q23" s="17"/>
      <c r="R23" s="18"/>
      <c r="S23" s="18"/>
      <c r="T23" s="18"/>
      <c r="U23" s="18"/>
    </row>
    <row r="24" spans="1:39" x14ac:dyDescent="0.25">
      <c r="B24" s="17"/>
      <c r="C24" s="21"/>
      <c r="D24" s="21"/>
      <c r="E24" s="21"/>
      <c r="F24" s="21"/>
      <c r="Q24" s="17"/>
      <c r="R24" s="18"/>
      <c r="S24" s="18"/>
      <c r="T24" s="18"/>
      <c r="U24" s="18"/>
    </row>
    <row r="25" spans="1:39" x14ac:dyDescent="0.25">
      <c r="B25" s="17"/>
      <c r="C25" s="21"/>
      <c r="D25" s="21"/>
      <c r="E25" s="21"/>
      <c r="F25" s="21"/>
    </row>
    <row r="26" spans="1:39" x14ac:dyDescent="0.25">
      <c r="B26" s="17"/>
      <c r="C26" s="21"/>
      <c r="D26" s="21"/>
      <c r="E26" s="21"/>
      <c r="F26" s="21"/>
    </row>
    <row r="27" spans="1:39" x14ac:dyDescent="0.25">
      <c r="B27" s="17"/>
      <c r="C27" s="21"/>
      <c r="D27" s="21"/>
      <c r="E27" s="21"/>
      <c r="F27" s="21"/>
      <c r="X27" s="15"/>
      <c r="Y27" s="15"/>
      <c r="Z27" s="15"/>
      <c r="AA27" s="15"/>
      <c r="AB27" s="15"/>
      <c r="AC27" s="13"/>
      <c r="AD27" s="15"/>
    </row>
    <row r="28" spans="1:39" x14ac:dyDescent="0.25">
      <c r="B28" s="17"/>
      <c r="C28" s="21"/>
      <c r="D28" s="21"/>
      <c r="E28" s="21"/>
      <c r="F28" s="21"/>
      <c r="X28" s="19"/>
      <c r="Y28" s="20"/>
      <c r="Z28" s="20"/>
      <c r="AA28" s="21"/>
      <c r="AB28" s="21"/>
      <c r="AC28" s="21"/>
      <c r="AD28" s="21"/>
    </row>
    <row r="29" spans="1:39" x14ac:dyDescent="0.25">
      <c r="X29" s="19"/>
      <c r="Y29" s="20"/>
      <c r="Z29" s="20"/>
      <c r="AA29" s="21"/>
      <c r="AB29" s="21"/>
      <c r="AC29" s="21"/>
      <c r="AD29" s="21"/>
    </row>
    <row r="30" spans="1:39" x14ac:dyDescent="0.25">
      <c r="Y30" s="17"/>
      <c r="Z30" s="17"/>
      <c r="AA30" s="21"/>
      <c r="AB30" s="16"/>
      <c r="AC30" s="16"/>
      <c r="AD30" s="16"/>
    </row>
    <row r="31" spans="1:39" x14ac:dyDescent="0.25">
      <c r="Y31" s="17"/>
      <c r="Z31" s="17"/>
      <c r="AA31" s="16"/>
      <c r="AB31" s="16"/>
      <c r="AC31" s="16"/>
      <c r="AD31" s="16"/>
    </row>
    <row r="32" spans="1:39" x14ac:dyDescent="0.25">
      <c r="X32" s="15" t="s">
        <v>48</v>
      </c>
      <c r="Y32" s="15" t="s">
        <v>83</v>
      </c>
      <c r="Z32" s="15" t="s">
        <v>80</v>
      </c>
      <c r="AA32" s="15" t="s">
        <v>6</v>
      </c>
      <c r="AB32" s="15" t="s">
        <v>7</v>
      </c>
      <c r="AC32" s="15" t="s">
        <v>81</v>
      </c>
      <c r="AD32" s="15" t="s">
        <v>82</v>
      </c>
      <c r="AG32" s="15" t="s">
        <v>48</v>
      </c>
      <c r="AH32" s="15" t="s">
        <v>83</v>
      </c>
      <c r="AI32" s="15" t="s">
        <v>80</v>
      </c>
      <c r="AJ32" s="15" t="s">
        <v>6</v>
      </c>
      <c r="AK32" s="15" t="s">
        <v>7</v>
      </c>
      <c r="AL32" s="15" t="s">
        <v>81</v>
      </c>
      <c r="AM32" s="15" t="s">
        <v>82</v>
      </c>
    </row>
    <row r="33" spans="24:39" x14ac:dyDescent="0.25">
      <c r="X33" t="s">
        <v>85</v>
      </c>
      <c r="Y33" s="17">
        <v>1</v>
      </c>
      <c r="Z33" s="35">
        <f>MIN($AA$33:$AB$36)-26%</f>
        <v>-0.36993494021257312</v>
      </c>
      <c r="AA33" s="18">
        <v>1.7948910672371459E-2</v>
      </c>
      <c r="AB33" s="18">
        <v>2.0239624696879037</v>
      </c>
      <c r="AC33" s="34">
        <f>Y33</f>
        <v>1</v>
      </c>
      <c r="AD33" s="18">
        <f>AA33</f>
        <v>1.7948910672371459E-2</v>
      </c>
      <c r="AG33" t="s">
        <v>85</v>
      </c>
      <c r="AH33" s="17">
        <v>1</v>
      </c>
      <c r="AI33" s="35">
        <f>MIN($AJ$33:$AK$36)-38%</f>
        <v>-0.73597255211007784</v>
      </c>
      <c r="AJ33" s="18">
        <f>U5</f>
        <v>4.5718648213859056E-2</v>
      </c>
      <c r="AK33" s="18">
        <f>U6</f>
        <v>4.5079599717251355</v>
      </c>
      <c r="AL33" s="34">
        <f>AH33</f>
        <v>1</v>
      </c>
      <c r="AM33" s="18">
        <f>AJ33</f>
        <v>4.5718648213859056E-2</v>
      </c>
    </row>
    <row r="34" spans="24:39" x14ac:dyDescent="0.25">
      <c r="X34" t="s">
        <v>74</v>
      </c>
      <c r="Y34" s="17">
        <v>2</v>
      </c>
      <c r="Z34" s="35">
        <f t="shared" ref="Z34:Z36" si="2">MIN($AA$33:$AB$36)-26%</f>
        <v>-0.36993494021257312</v>
      </c>
      <c r="AA34" s="18">
        <v>4.7668936616029042E-2</v>
      </c>
      <c r="AB34" s="18">
        <v>0.46031841454006128</v>
      </c>
      <c r="AC34" s="34">
        <f>Y33</f>
        <v>1</v>
      </c>
      <c r="AD34" s="18">
        <f>AB33</f>
        <v>2.0239624696879037</v>
      </c>
      <c r="AG34" t="s">
        <v>74</v>
      </c>
      <c r="AH34" s="17">
        <v>2</v>
      </c>
      <c r="AI34" s="35">
        <f t="shared" ref="AI34:AI36" si="3">MIN($AJ$33:$AK$36)-38%</f>
        <v>-0.73597255211007784</v>
      </c>
      <c r="AJ34" s="18">
        <f>U7</f>
        <v>8.8731299356494139E-2</v>
      </c>
      <c r="AK34" s="18">
        <f>U8</f>
        <v>0.57491039408683964</v>
      </c>
      <c r="AL34" s="34">
        <f>AH33</f>
        <v>1</v>
      </c>
      <c r="AM34" s="18">
        <f>AK33</f>
        <v>4.5079599717251355</v>
      </c>
    </row>
    <row r="35" spans="24:39" x14ac:dyDescent="0.25">
      <c r="X35" t="s">
        <v>50</v>
      </c>
      <c r="Y35" s="17">
        <v>3</v>
      </c>
      <c r="Z35" s="35">
        <f t="shared" si="2"/>
        <v>-0.36993494021257312</v>
      </c>
      <c r="AA35" s="18">
        <v>-0.10993494021257308</v>
      </c>
      <c r="AB35" s="18">
        <v>0.59557946837396036</v>
      </c>
      <c r="AC35" s="34">
        <f>Y34</f>
        <v>2</v>
      </c>
      <c r="AD35" s="18">
        <f>AA34</f>
        <v>4.7668936616029042E-2</v>
      </c>
      <c r="AG35" t="s">
        <v>50</v>
      </c>
      <c r="AH35" s="17">
        <v>3</v>
      </c>
      <c r="AI35" s="35">
        <f t="shared" si="3"/>
        <v>-0.73597255211007784</v>
      </c>
      <c r="AJ35" s="18">
        <f>U9</f>
        <v>-0.14498353809622816</v>
      </c>
      <c r="AK35" s="18">
        <f>U10</f>
        <v>-0.35597255211007783</v>
      </c>
      <c r="AL35" s="34">
        <f>AH34</f>
        <v>2</v>
      </c>
      <c r="AM35" s="18">
        <f>AJ34</f>
        <v>8.8731299356494139E-2</v>
      </c>
    </row>
    <row r="36" spans="24:39" x14ac:dyDescent="0.25">
      <c r="X36" t="s">
        <v>84</v>
      </c>
      <c r="Y36" s="17">
        <v>4</v>
      </c>
      <c r="Z36" s="35">
        <f t="shared" si="2"/>
        <v>-0.36993494021257312</v>
      </c>
      <c r="AA36" s="18">
        <v>2.0938509024440652E-3</v>
      </c>
      <c r="AB36" s="18">
        <v>2.1736250964361186</v>
      </c>
      <c r="AC36" s="34">
        <f>Y34</f>
        <v>2</v>
      </c>
      <c r="AD36" s="18">
        <f>AB34</f>
        <v>0.46031841454006128</v>
      </c>
      <c r="AG36" t="s">
        <v>84</v>
      </c>
      <c r="AH36" s="17">
        <v>4</v>
      </c>
      <c r="AI36" s="35">
        <f t="shared" si="3"/>
        <v>-0.73597255211007784</v>
      </c>
      <c r="AJ36" s="18">
        <f>U11</f>
        <v>5.1908974160972107E-2</v>
      </c>
      <c r="AK36" s="18">
        <f>U12</f>
        <v>3.9772269087838268</v>
      </c>
      <c r="AL36" s="34">
        <f>AH34</f>
        <v>2</v>
      </c>
      <c r="AM36" s="18">
        <f>AK34</f>
        <v>0.57491039408683964</v>
      </c>
    </row>
    <row r="37" spans="24:39" x14ac:dyDescent="0.25">
      <c r="AC37" s="34">
        <f>Y35</f>
        <v>3</v>
      </c>
      <c r="AD37" s="18">
        <f>AA35</f>
        <v>-0.10993494021257308</v>
      </c>
      <c r="AL37" s="34">
        <f>AH35</f>
        <v>3</v>
      </c>
      <c r="AM37" s="18">
        <f>AJ35</f>
        <v>-0.14498353809622816</v>
      </c>
    </row>
    <row r="38" spans="24:39" x14ac:dyDescent="0.25">
      <c r="Y38" s="17"/>
      <c r="Z38" s="17"/>
      <c r="AC38" s="34">
        <f>Y35</f>
        <v>3</v>
      </c>
      <c r="AD38" s="18">
        <f>AB35</f>
        <v>0.59557946837396036</v>
      </c>
      <c r="AH38" s="17"/>
      <c r="AI38" s="17"/>
      <c r="AL38" s="34">
        <f>AH35</f>
        <v>3</v>
      </c>
      <c r="AM38" s="18">
        <f>AK35</f>
        <v>-0.35597255211007783</v>
      </c>
    </row>
    <row r="39" spans="24:39" x14ac:dyDescent="0.25">
      <c r="AC39" s="34">
        <f>Y36</f>
        <v>4</v>
      </c>
      <c r="AD39" s="18">
        <f>AA36</f>
        <v>2.0938509024440652E-3</v>
      </c>
      <c r="AL39" s="34">
        <f>AH36</f>
        <v>4</v>
      </c>
      <c r="AM39" s="18">
        <f>AJ36</f>
        <v>5.1908974160972107E-2</v>
      </c>
    </row>
    <row r="40" spans="24:39" x14ac:dyDescent="0.25">
      <c r="Y40" s="17"/>
      <c r="Z40" s="17"/>
      <c r="AC40" s="34">
        <f>Y36</f>
        <v>4</v>
      </c>
      <c r="AD40" s="18">
        <f>AB36</f>
        <v>2.1736250964361186</v>
      </c>
      <c r="AH40" s="17"/>
      <c r="AI40" s="17"/>
      <c r="AL40" s="34">
        <f>AH36</f>
        <v>4</v>
      </c>
      <c r="AM40" s="18">
        <f>AK36</f>
        <v>3.9772269087838268</v>
      </c>
    </row>
  </sheetData>
  <hyperlinks>
    <hyperlink ref="L4" r:id="rId1" display="mAP@50"/>
    <hyperlink ref="M4" r:id="rId2" display="mAP@50-95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4"/>
  <sheetViews>
    <sheetView tabSelected="1" topLeftCell="A46" workbookViewId="0">
      <selection activeCell="D66" sqref="D66"/>
    </sheetView>
  </sheetViews>
  <sheetFormatPr defaultRowHeight="15" x14ac:dyDescent="0.25"/>
  <cols>
    <col min="1" max="1" width="25.42578125" customWidth="1"/>
    <col min="2" max="2" width="9.140625" bestFit="1" customWidth="1"/>
    <col min="3" max="8" width="8.7109375" customWidth="1"/>
    <col min="11" max="11" width="9.5703125" customWidth="1"/>
    <col min="12" max="17" width="7.7109375" customWidth="1"/>
    <col min="20" max="20" width="25.5703125" bestFit="1" customWidth="1"/>
    <col min="21" max="21" width="10.85546875" customWidth="1"/>
    <col min="22" max="24" width="9.7109375" customWidth="1"/>
  </cols>
  <sheetData>
    <row r="1" spans="1:24" ht="26.25" x14ac:dyDescent="0.4">
      <c r="A1" s="14" t="s">
        <v>41</v>
      </c>
    </row>
    <row r="2" spans="1:24" x14ac:dyDescent="0.25">
      <c r="A2" t="s">
        <v>51</v>
      </c>
      <c r="B2" t="s">
        <v>52</v>
      </c>
    </row>
    <row r="4" spans="1:24" s="13" customFormat="1" x14ac:dyDescent="0.25">
      <c r="A4" s="15" t="s">
        <v>48</v>
      </c>
      <c r="B4" s="15" t="s">
        <v>75</v>
      </c>
      <c r="C4" s="15" t="s">
        <v>42</v>
      </c>
      <c r="D4" s="15" t="s">
        <v>43</v>
      </c>
      <c r="E4" s="15" t="s">
        <v>44</v>
      </c>
      <c r="F4" s="15" t="s">
        <v>53</v>
      </c>
      <c r="G4" s="15" t="s">
        <v>54</v>
      </c>
      <c r="H4" s="15" t="s">
        <v>55</v>
      </c>
      <c r="K4" s="15" t="s">
        <v>75</v>
      </c>
      <c r="L4" s="15" t="s">
        <v>42</v>
      </c>
      <c r="M4" s="15" t="s">
        <v>43</v>
      </c>
      <c r="N4" s="15" t="s">
        <v>44</v>
      </c>
      <c r="O4" s="15" t="s">
        <v>53</v>
      </c>
      <c r="P4" s="15" t="s">
        <v>54</v>
      </c>
      <c r="Q4" s="15" t="s">
        <v>55</v>
      </c>
      <c r="T4" s="15" t="s">
        <v>48</v>
      </c>
      <c r="U4" s="15" t="s">
        <v>75</v>
      </c>
      <c r="V4" s="15" t="s">
        <v>56</v>
      </c>
      <c r="W4" s="15" t="s">
        <v>57</v>
      </c>
      <c r="X4" s="15" t="s">
        <v>58</v>
      </c>
    </row>
    <row r="5" spans="1:24" ht="15.75" customHeight="1" x14ac:dyDescent="0.25">
      <c r="A5" t="s">
        <v>49</v>
      </c>
      <c r="B5" s="17" t="s">
        <v>45</v>
      </c>
      <c r="C5">
        <v>49</v>
      </c>
      <c r="D5">
        <v>33</v>
      </c>
      <c r="E5">
        <v>446</v>
      </c>
      <c r="F5" s="16">
        <v>0.59756100000000001</v>
      </c>
      <c r="G5" s="16">
        <v>9.8989999999999995E-2</v>
      </c>
      <c r="H5" s="16">
        <v>0.16984399999999999</v>
      </c>
      <c r="K5" s="17" t="s">
        <v>45</v>
      </c>
      <c r="L5">
        <v>49</v>
      </c>
      <c r="M5">
        <v>33</v>
      </c>
      <c r="N5">
        <v>446</v>
      </c>
      <c r="O5" s="16">
        <v>0.59756100000000001</v>
      </c>
      <c r="P5" s="16">
        <v>9.8989999999999995E-2</v>
      </c>
      <c r="Q5" s="16">
        <v>0.16984399999999999</v>
      </c>
      <c r="T5" t="s">
        <v>85</v>
      </c>
      <c r="U5" s="17" t="s">
        <v>45</v>
      </c>
      <c r="V5" s="18">
        <f>F8/IF(B8="S",$F$5,IF(B8="M",$F$6,$F$7))-1</f>
        <v>-0.23432586798669919</v>
      </c>
      <c r="W5" s="18">
        <f>G8/IF(B8="S",$G$5,IF(B8="M",$G$6,$G$7))-1</f>
        <v>7.7959086776442064</v>
      </c>
      <c r="X5" s="18">
        <f>H8/IF(B8="S",$H$5,IF(B8="M",$H$6,$H$7))-1</f>
        <v>2.5318350957349098</v>
      </c>
    </row>
    <row r="6" spans="1:24" x14ac:dyDescent="0.25">
      <c r="A6" t="s">
        <v>49</v>
      </c>
      <c r="B6" s="17" t="s">
        <v>46</v>
      </c>
      <c r="C6">
        <v>48</v>
      </c>
      <c r="D6">
        <v>7</v>
      </c>
      <c r="E6">
        <v>526</v>
      </c>
      <c r="F6" s="16">
        <v>0.87272700000000003</v>
      </c>
      <c r="G6" s="16">
        <v>8.3624000000000004E-2</v>
      </c>
      <c r="H6" s="16">
        <v>0.15262300000000001</v>
      </c>
      <c r="K6" s="17" t="s">
        <v>46</v>
      </c>
      <c r="L6">
        <v>48</v>
      </c>
      <c r="M6">
        <v>7</v>
      </c>
      <c r="N6">
        <v>526</v>
      </c>
      <c r="O6" s="16">
        <v>0.87272700000000003</v>
      </c>
      <c r="P6" s="16">
        <v>8.3624000000000004E-2</v>
      </c>
      <c r="Q6" s="16">
        <v>0.15262300000000001</v>
      </c>
      <c r="T6" t="s">
        <v>85</v>
      </c>
      <c r="U6" s="17" t="s">
        <v>46</v>
      </c>
      <c r="V6" s="18">
        <f t="shared" ref="V6:V16" si="0">F9/IF(B9="S",$F$5,IF(B9="M",$F$6,$F$7))-1</f>
        <v>-0.17185901203927467</v>
      </c>
      <c r="W6" s="18">
        <f t="shared" ref="W6:W16" si="1">G9/IF(B9="S",$G$5,IF(B9="M",$G$6,$G$7))-1</f>
        <v>8.6666268057017124</v>
      </c>
      <c r="X6" s="18">
        <f t="shared" ref="X6:X16" si="2">H9/IF(B9="S",$H$5,IF(B9="M",$H$6,$H$7))-1</f>
        <v>4.0002817399736603</v>
      </c>
    </row>
    <row r="7" spans="1:24" x14ac:dyDescent="0.25">
      <c r="A7" t="s">
        <v>49</v>
      </c>
      <c r="B7" s="17" t="s">
        <v>47</v>
      </c>
      <c r="C7">
        <v>58</v>
      </c>
      <c r="D7">
        <v>17</v>
      </c>
      <c r="E7">
        <v>624</v>
      </c>
      <c r="F7" s="16">
        <v>0.77333300000000005</v>
      </c>
      <c r="G7" s="16">
        <v>8.5043999999999995E-2</v>
      </c>
      <c r="H7" s="16">
        <v>0.15323600000000001</v>
      </c>
      <c r="K7" s="17" t="s">
        <v>47</v>
      </c>
      <c r="L7">
        <v>58</v>
      </c>
      <c r="M7">
        <v>17</v>
      </c>
      <c r="N7">
        <v>624</v>
      </c>
      <c r="O7" s="16">
        <v>0.77333300000000005</v>
      </c>
      <c r="P7" s="16">
        <v>8.5043999999999995E-2</v>
      </c>
      <c r="Q7" s="16">
        <v>0.15323600000000001</v>
      </c>
      <c r="T7" t="s">
        <v>85</v>
      </c>
      <c r="U7" s="17" t="s">
        <v>47</v>
      </c>
      <c r="V7" s="18">
        <f t="shared" si="0"/>
        <v>-4.2309069960806078E-2</v>
      </c>
      <c r="W7" s="18">
        <f t="shared" si="1"/>
        <v>6.4827618644466405</v>
      </c>
      <c r="X7" s="18">
        <f t="shared" si="2"/>
        <v>3.4672466000156623</v>
      </c>
    </row>
    <row r="8" spans="1:24" ht="15.75" customHeight="1" x14ac:dyDescent="0.25">
      <c r="A8" t="s">
        <v>85</v>
      </c>
      <c r="B8" s="17" t="s">
        <v>45</v>
      </c>
      <c r="C8">
        <v>431</v>
      </c>
      <c r="D8">
        <v>511</v>
      </c>
      <c r="E8">
        <v>64</v>
      </c>
      <c r="F8" s="16">
        <v>0.45753700000000003</v>
      </c>
      <c r="G8" s="16">
        <v>0.87070700000000001</v>
      </c>
      <c r="H8" s="16">
        <v>0.59986099999999998</v>
      </c>
      <c r="L8" s="17"/>
      <c r="M8" s="16"/>
      <c r="N8" s="16"/>
      <c r="O8" s="16"/>
      <c r="T8" t="s">
        <v>74</v>
      </c>
      <c r="U8" s="17" t="s">
        <v>45</v>
      </c>
      <c r="V8" s="18">
        <f t="shared" si="0"/>
        <v>8.775505764265068E-2</v>
      </c>
      <c r="W8" s="18">
        <f t="shared" si="1"/>
        <v>1.6530558642287105</v>
      </c>
      <c r="X8" s="18">
        <f t="shared" si="2"/>
        <v>1.2026153411365725</v>
      </c>
    </row>
    <row r="9" spans="1:24" x14ac:dyDescent="0.25">
      <c r="A9" t="s">
        <v>85</v>
      </c>
      <c r="B9" s="17" t="s">
        <v>46</v>
      </c>
      <c r="C9">
        <v>464</v>
      </c>
      <c r="D9">
        <v>178</v>
      </c>
      <c r="E9">
        <v>110</v>
      </c>
      <c r="F9" s="16">
        <v>0.72274099999999997</v>
      </c>
      <c r="G9" s="16">
        <v>0.80836200000000002</v>
      </c>
      <c r="H9" s="16">
        <v>0.763158</v>
      </c>
      <c r="L9" s="17"/>
      <c r="M9" s="16"/>
      <c r="N9" s="16"/>
      <c r="O9" s="16"/>
      <c r="T9" t="s">
        <v>74</v>
      </c>
      <c r="U9" s="17" t="s">
        <v>46</v>
      </c>
      <c r="V9" s="18">
        <f t="shared" si="0"/>
        <v>-0.19064151790880768</v>
      </c>
      <c r="W9" s="18">
        <f t="shared" si="1"/>
        <v>0.85415670142542788</v>
      </c>
      <c r="X9" s="18">
        <f t="shared" si="2"/>
        <v>0.66610537075014897</v>
      </c>
    </row>
    <row r="10" spans="1:24" x14ac:dyDescent="0.25">
      <c r="A10" t="s">
        <v>85</v>
      </c>
      <c r="B10" s="17" t="s">
        <v>47</v>
      </c>
      <c r="C10">
        <v>434</v>
      </c>
      <c r="D10">
        <v>152</v>
      </c>
      <c r="E10">
        <v>248</v>
      </c>
      <c r="F10" s="16">
        <v>0.74061399999999999</v>
      </c>
      <c r="G10" s="16">
        <v>0.63636400000000004</v>
      </c>
      <c r="H10" s="16">
        <v>0.68454300000000001</v>
      </c>
      <c r="L10" s="17"/>
      <c r="M10" s="16"/>
      <c r="N10" s="16"/>
      <c r="O10" s="16"/>
      <c r="T10" t="s">
        <v>74</v>
      </c>
      <c r="U10" s="17" t="s">
        <v>47</v>
      </c>
      <c r="V10" s="18">
        <f t="shared" si="0"/>
        <v>-0.35344799717586084</v>
      </c>
      <c r="W10" s="18">
        <f t="shared" si="1"/>
        <v>1</v>
      </c>
      <c r="X10" s="18">
        <f t="shared" si="2"/>
        <v>0.6564580124774857</v>
      </c>
    </row>
    <row r="11" spans="1:24" ht="15.75" customHeight="1" x14ac:dyDescent="0.25">
      <c r="A11" t="s">
        <v>74</v>
      </c>
      <c r="B11" s="17" t="s">
        <v>45</v>
      </c>
      <c r="C11">
        <v>130</v>
      </c>
      <c r="D11">
        <v>70</v>
      </c>
      <c r="E11">
        <v>365</v>
      </c>
      <c r="F11" s="16">
        <v>0.65</v>
      </c>
      <c r="G11" s="16">
        <v>0.26262600000000003</v>
      </c>
      <c r="H11" s="16">
        <v>0.37410100000000002</v>
      </c>
      <c r="L11" s="17"/>
      <c r="M11" s="16"/>
      <c r="N11" s="16"/>
      <c r="O11" s="16"/>
      <c r="T11" t="s">
        <v>50</v>
      </c>
      <c r="U11" s="17" t="s">
        <v>45</v>
      </c>
      <c r="V11" s="18">
        <f t="shared" si="0"/>
        <v>0.30648084463343483</v>
      </c>
      <c r="W11" s="18">
        <f t="shared" si="1"/>
        <v>0.81632488130114167</v>
      </c>
      <c r="X11" s="18">
        <f t="shared" si="2"/>
        <v>0.7208850474553119</v>
      </c>
    </row>
    <row r="12" spans="1:24" x14ac:dyDescent="0.25">
      <c r="A12" t="s">
        <v>74</v>
      </c>
      <c r="B12" s="17" t="s">
        <v>46</v>
      </c>
      <c r="C12">
        <v>89</v>
      </c>
      <c r="D12">
        <v>37</v>
      </c>
      <c r="E12">
        <v>485</v>
      </c>
      <c r="F12" s="16">
        <v>0.706349</v>
      </c>
      <c r="G12" s="16">
        <v>0.155052</v>
      </c>
      <c r="H12" s="16">
        <v>0.25428600000000001</v>
      </c>
      <c r="L12" s="17"/>
      <c r="M12" s="16"/>
      <c r="N12" s="16"/>
      <c r="O12" s="16"/>
      <c r="T12" t="s">
        <v>50</v>
      </c>
      <c r="U12" s="17" t="s">
        <v>46</v>
      </c>
      <c r="V12" s="18">
        <f t="shared" si="0"/>
        <v>-0.44098899197572661</v>
      </c>
      <c r="W12" s="18">
        <f t="shared" si="1"/>
        <v>3.1874820625657705</v>
      </c>
      <c r="X12" s="18">
        <f t="shared" si="2"/>
        <v>1.6713404925863076</v>
      </c>
    </row>
    <row r="13" spans="1:24" x14ac:dyDescent="0.25">
      <c r="A13" t="s">
        <v>74</v>
      </c>
      <c r="B13" s="17" t="s">
        <v>47</v>
      </c>
      <c r="C13">
        <v>116</v>
      </c>
      <c r="D13">
        <v>116</v>
      </c>
      <c r="E13">
        <v>566</v>
      </c>
      <c r="F13" s="16">
        <v>0.5</v>
      </c>
      <c r="G13" s="16">
        <v>0.17008799999999999</v>
      </c>
      <c r="H13" s="16">
        <v>0.25382900000000003</v>
      </c>
      <c r="L13" s="17"/>
      <c r="M13" s="16"/>
      <c r="N13" s="16"/>
      <c r="O13" s="16"/>
      <c r="T13" t="s">
        <v>50</v>
      </c>
      <c r="U13" s="17" t="s">
        <v>47</v>
      </c>
      <c r="V13" s="18">
        <f t="shared" si="0"/>
        <v>-0.52090884521932979</v>
      </c>
      <c r="W13" s="18">
        <f t="shared" si="1"/>
        <v>2.7241427966699594</v>
      </c>
      <c r="X13" s="18">
        <f t="shared" si="2"/>
        <v>1.2286016340807642</v>
      </c>
    </row>
    <row r="14" spans="1:24" ht="15.75" customHeight="1" x14ac:dyDescent="0.25">
      <c r="A14" t="s">
        <v>50</v>
      </c>
      <c r="B14" s="17" t="s">
        <v>45</v>
      </c>
      <c r="C14">
        <v>89</v>
      </c>
      <c r="D14">
        <v>25</v>
      </c>
      <c r="E14">
        <v>406</v>
      </c>
      <c r="F14" s="16">
        <v>0.78070200000000001</v>
      </c>
      <c r="G14" s="16">
        <v>0.17979800000000001</v>
      </c>
      <c r="H14" s="16">
        <v>0.29228199999999999</v>
      </c>
      <c r="L14" s="17"/>
      <c r="M14" s="16"/>
      <c r="N14" s="16"/>
      <c r="O14" s="16"/>
      <c r="T14" t="s">
        <v>84</v>
      </c>
      <c r="U14" s="17" t="s">
        <v>45</v>
      </c>
      <c r="V14" s="18">
        <f t="shared" si="0"/>
        <v>-5.0416610187077104E-2</v>
      </c>
      <c r="W14" s="18">
        <f t="shared" si="1"/>
        <v>6.0408122032528544</v>
      </c>
      <c r="X14" s="18">
        <f t="shared" si="2"/>
        <v>2.6831857469207039</v>
      </c>
    </row>
    <row r="15" spans="1:24" x14ac:dyDescent="0.25">
      <c r="A15" t="s">
        <v>50</v>
      </c>
      <c r="B15" s="17" t="s">
        <v>46</v>
      </c>
      <c r="C15">
        <v>201</v>
      </c>
      <c r="D15">
        <v>211</v>
      </c>
      <c r="E15">
        <v>373</v>
      </c>
      <c r="F15" s="16">
        <v>0.48786400000000002</v>
      </c>
      <c r="G15" s="16">
        <v>0.35017399999999999</v>
      </c>
      <c r="H15" s="16">
        <v>0.40770800000000001</v>
      </c>
      <c r="L15" s="17"/>
      <c r="M15" s="16"/>
      <c r="N15" s="16"/>
      <c r="O15" s="16"/>
      <c r="T15" t="s">
        <v>84</v>
      </c>
      <c r="U15" s="17" t="s">
        <v>46</v>
      </c>
      <c r="V15" s="18">
        <f t="shared" si="0"/>
        <v>-0.1286438943678837</v>
      </c>
      <c r="W15" s="18">
        <f t="shared" si="1"/>
        <v>7.3333014445613696</v>
      </c>
      <c r="X15" s="18">
        <f t="shared" si="2"/>
        <v>3.7651599038152828</v>
      </c>
    </row>
    <row r="16" spans="1:24" ht="15.75" customHeight="1" x14ac:dyDescent="0.25">
      <c r="A16" t="s">
        <v>50</v>
      </c>
      <c r="B16" s="17" t="s">
        <v>47</v>
      </c>
      <c r="C16">
        <v>216</v>
      </c>
      <c r="D16">
        <v>367</v>
      </c>
      <c r="E16">
        <v>466</v>
      </c>
      <c r="F16" s="16">
        <v>0.37049700000000002</v>
      </c>
      <c r="G16" s="16">
        <v>0.316716</v>
      </c>
      <c r="H16" s="16">
        <v>0.34150199999999997</v>
      </c>
      <c r="L16" s="17"/>
      <c r="M16" s="16"/>
      <c r="N16" s="16"/>
      <c r="O16" s="16"/>
      <c r="T16" t="s">
        <v>84</v>
      </c>
      <c r="U16" s="17" t="s">
        <v>47</v>
      </c>
      <c r="V16" s="18">
        <f t="shared" si="0"/>
        <v>-4.2144845752088766E-2</v>
      </c>
      <c r="W16" s="18">
        <f t="shared" si="1"/>
        <v>6.5862024363858716</v>
      </c>
      <c r="X16" s="18">
        <f t="shared" si="2"/>
        <v>3.5006069069931343</v>
      </c>
    </row>
    <row r="17" spans="1:24" x14ac:dyDescent="0.25">
      <c r="A17" t="s">
        <v>84</v>
      </c>
      <c r="B17" s="17" t="s">
        <v>45</v>
      </c>
      <c r="C17">
        <v>345</v>
      </c>
      <c r="D17">
        <v>263</v>
      </c>
      <c r="E17">
        <v>150</v>
      </c>
      <c r="F17" s="16">
        <v>0.56743399999999999</v>
      </c>
      <c r="G17" s="16">
        <v>0.69696999999999998</v>
      </c>
      <c r="H17" s="16">
        <v>0.62556699999999998</v>
      </c>
      <c r="L17" s="17"/>
      <c r="M17" s="16"/>
      <c r="N17" s="16"/>
      <c r="O17" s="16"/>
    </row>
    <row r="18" spans="1:24" x14ac:dyDescent="0.25">
      <c r="A18" t="s">
        <v>84</v>
      </c>
      <c r="B18" s="17" t="s">
        <v>46</v>
      </c>
      <c r="C18">
        <v>400</v>
      </c>
      <c r="D18">
        <v>126</v>
      </c>
      <c r="E18">
        <v>174</v>
      </c>
      <c r="F18" s="16">
        <v>0.76045600000000002</v>
      </c>
      <c r="G18" s="16">
        <v>0.69686400000000004</v>
      </c>
      <c r="H18" s="16">
        <v>0.72727299999999995</v>
      </c>
      <c r="L18" s="17"/>
      <c r="M18" s="16"/>
      <c r="N18" s="16"/>
      <c r="O18" s="16"/>
    </row>
    <row r="19" spans="1:24" x14ac:dyDescent="0.25">
      <c r="A19" t="s">
        <v>84</v>
      </c>
      <c r="B19" s="17" t="s">
        <v>47</v>
      </c>
      <c r="C19">
        <v>440</v>
      </c>
      <c r="D19">
        <v>154</v>
      </c>
      <c r="E19">
        <v>242</v>
      </c>
      <c r="F19" s="16">
        <v>0.74074099999999998</v>
      </c>
      <c r="G19" s="16">
        <v>0.64516099999999998</v>
      </c>
      <c r="H19" s="16">
        <v>0.68965500000000002</v>
      </c>
      <c r="L19" s="17"/>
      <c r="M19" s="16"/>
      <c r="N19" s="16"/>
      <c r="O19" s="16"/>
      <c r="T19" s="15"/>
      <c r="U19" s="15"/>
      <c r="V19" s="15"/>
      <c r="W19" s="15"/>
      <c r="X19" s="15"/>
    </row>
    <row r="20" spans="1:24" x14ac:dyDescent="0.25">
      <c r="U20" s="15" t="s">
        <v>48</v>
      </c>
      <c r="V20" s="15" t="s">
        <v>56</v>
      </c>
      <c r="W20" s="15" t="s">
        <v>57</v>
      </c>
      <c r="X20" s="15" t="s">
        <v>58</v>
      </c>
    </row>
    <row r="21" spans="1:24" x14ac:dyDescent="0.25">
      <c r="U21" t="s">
        <v>95</v>
      </c>
      <c r="V21" s="32">
        <f>ROUND(F8-IF(B8="S",$F$5,IF(B8="M",$F$6,$F$7)),2)</f>
        <v>-0.14000000000000001</v>
      </c>
      <c r="W21" s="32">
        <f>ROUND(G8-IF(B8="S",$G$5,IF(B8="M",$G$6,$G$7)),2)</f>
        <v>0.77</v>
      </c>
      <c r="X21" s="32">
        <f>ROUND(H8-IF(B8="S",$H$5,IF(B8="M",$H$6,$H$7)),2)</f>
        <v>0.43</v>
      </c>
    </row>
    <row r="22" spans="1:24" x14ac:dyDescent="0.25">
      <c r="U22" t="s">
        <v>96</v>
      </c>
      <c r="V22" s="32">
        <f>ROUND(F9-IF(B9="S",$F$5,IF(B9="M",$F$6,$F$7)),2)</f>
        <v>-0.15</v>
      </c>
      <c r="W22" s="32">
        <f>ROUND(G9-IF(B9="S",$G$5,IF(B9="M",$G$6,$G$7)),2)</f>
        <v>0.72</v>
      </c>
      <c r="X22" s="32">
        <f>ROUND(H9-IF(B9="S",$H$5,IF(B9="M",$H$6,$H$7)),2)</f>
        <v>0.61</v>
      </c>
    </row>
    <row r="23" spans="1:24" x14ac:dyDescent="0.25">
      <c r="U23" t="s">
        <v>97</v>
      </c>
      <c r="V23" s="32">
        <f>ROUND(F10-IF(B10="S",$F$5,IF(B10="M",$F$6,$F$7)),2)</f>
        <v>-0.03</v>
      </c>
      <c r="W23" s="32">
        <f>ROUND(G10-IF(B10="S",$G$5,IF(B10="M",$G$6,$G$7)),2)</f>
        <v>0.55000000000000004</v>
      </c>
      <c r="X23" s="32">
        <f>ROUND(H10-IF(B10="S",$H$5,IF(B10="M",$H$6,$H$7)),2)</f>
        <v>0.53</v>
      </c>
    </row>
    <row r="24" spans="1:24" x14ac:dyDescent="0.25">
      <c r="U24" t="s">
        <v>87</v>
      </c>
      <c r="V24" s="32">
        <f>ROUND(F11-IF(B11="S",$F$5,IF(B11="M",$F$6,$F$7)),2)</f>
        <v>0.05</v>
      </c>
      <c r="W24" s="32">
        <f>ROUND(G11-IF(B11="S",$G$5,IF(B11="M",$G$6,$G$7)),2)</f>
        <v>0.16</v>
      </c>
      <c r="X24" s="32">
        <f>ROUND(H11-IF(B11="S",$H$5,IF(B11="M",$H$6,$H$7)),2)</f>
        <v>0.2</v>
      </c>
    </row>
    <row r="25" spans="1:24" x14ac:dyDescent="0.25">
      <c r="A25" s="15" t="s">
        <v>48</v>
      </c>
      <c r="B25" s="15" t="s">
        <v>75</v>
      </c>
      <c r="C25" s="15" t="s">
        <v>56</v>
      </c>
      <c r="D25" s="15" t="s">
        <v>57</v>
      </c>
      <c r="E25" s="15" t="s">
        <v>58</v>
      </c>
      <c r="U25" t="s">
        <v>88</v>
      </c>
      <c r="V25" s="32">
        <f>ROUND(F12-IF(B12="S",$F$5,IF(B12="M",$F$6,$F$7)),2)</f>
        <v>-0.17</v>
      </c>
      <c r="W25" s="32">
        <f>ROUND(G12-IF(B12="S",$G$5,IF(B12="M",$G$6,$G$7)),2)</f>
        <v>7.0000000000000007E-2</v>
      </c>
      <c r="X25" s="32">
        <f>ROUND(H12-IF(B12="S",$H$5,IF(B12="M",$H$6,$H$7)),2)</f>
        <v>0.1</v>
      </c>
    </row>
    <row r="26" spans="1:24" x14ac:dyDescent="0.25">
      <c r="A26" t="s">
        <v>85</v>
      </c>
      <c r="B26" s="17" t="s">
        <v>45</v>
      </c>
      <c r="C26">
        <v>-0.14000000000000001</v>
      </c>
      <c r="D26">
        <v>0.77</v>
      </c>
      <c r="E26">
        <v>0.43</v>
      </c>
      <c r="U26" t="s">
        <v>86</v>
      </c>
      <c r="V26" s="32">
        <f>ROUND(F13-IF(B13="S",$F$5,IF(B13="M",$F$6,$F$7)),2)</f>
        <v>-0.27</v>
      </c>
      <c r="W26" s="32">
        <f>ROUND(G13-IF(B13="S",$G$5,IF(B13="M",$G$6,$G$7)),2)</f>
        <v>0.09</v>
      </c>
      <c r="X26" s="32">
        <f>ROUND(H13-IF(B13="S",$H$5,IF(B13="M",$H$6,$H$7)),2)</f>
        <v>0.1</v>
      </c>
    </row>
    <row r="27" spans="1:24" x14ac:dyDescent="0.25">
      <c r="A27" t="s">
        <v>85</v>
      </c>
      <c r="B27" s="17" t="s">
        <v>46</v>
      </c>
      <c r="C27">
        <v>-0.15</v>
      </c>
      <c r="D27">
        <v>0.72</v>
      </c>
      <c r="E27">
        <v>0.61</v>
      </c>
      <c r="I27" s="13"/>
      <c r="U27" t="s">
        <v>89</v>
      </c>
      <c r="V27" s="32">
        <f>ROUND(F14-IF(B14="S",$F$5,IF(B14="M",$F$6,$F$7)),2)</f>
        <v>0.18</v>
      </c>
      <c r="W27" s="32">
        <f>ROUND(G14-IF(B14="S",$G$5,IF(B14="M",$G$6,$G$7)),2)</f>
        <v>0.08</v>
      </c>
      <c r="X27" s="32">
        <f>ROUND(H14-IF(B14="S",$H$5,IF(B14="M",$H$6,$H$7)),2)</f>
        <v>0.12</v>
      </c>
    </row>
    <row r="28" spans="1:24" x14ac:dyDescent="0.25">
      <c r="A28" t="s">
        <v>85</v>
      </c>
      <c r="B28" s="17" t="s">
        <v>47</v>
      </c>
      <c r="C28">
        <v>-0.03</v>
      </c>
      <c r="D28">
        <v>0.55000000000000004</v>
      </c>
      <c r="E28">
        <v>0.53</v>
      </c>
      <c r="U28" t="s">
        <v>90</v>
      </c>
      <c r="V28" s="32">
        <f>ROUND(F15-IF(B15="S",$F$5,IF(B15="M",$F$6,$F$7)),2)</f>
        <v>-0.38</v>
      </c>
      <c r="W28" s="32">
        <f>ROUND(G15-IF(B15="S",$G$5,IF(B15="M",$G$6,$G$7)),2)</f>
        <v>0.27</v>
      </c>
      <c r="X28" s="32">
        <f>ROUND(H15-IF(B15="S",$H$5,IF(B15="M",$H$6,$H$7)),2)</f>
        <v>0.26</v>
      </c>
    </row>
    <row r="29" spans="1:24" x14ac:dyDescent="0.25">
      <c r="A29" t="s">
        <v>74</v>
      </c>
      <c r="B29" s="17" t="s">
        <v>45</v>
      </c>
      <c r="C29">
        <v>0.05</v>
      </c>
      <c r="D29">
        <v>0.16</v>
      </c>
      <c r="E29">
        <v>0.2</v>
      </c>
      <c r="U29" t="s">
        <v>91</v>
      </c>
      <c r="V29" s="32">
        <f>ROUND(F16-IF(B16="S",$F$5,IF(B16="M",$F$6,$F$7)),2)</f>
        <v>-0.4</v>
      </c>
      <c r="W29" s="32">
        <f>ROUND(G16-IF(B16="S",$G$5,IF(B16="M",$G$6,$G$7)),2)</f>
        <v>0.23</v>
      </c>
      <c r="X29" s="32">
        <f>ROUND(H16-IF(B16="S",$H$5,IF(B16="M",$H$6,$H$7)),2)</f>
        <v>0.19</v>
      </c>
    </row>
    <row r="30" spans="1:24" x14ac:dyDescent="0.25">
      <c r="A30" t="s">
        <v>74</v>
      </c>
      <c r="B30" s="17" t="s">
        <v>46</v>
      </c>
      <c r="C30">
        <v>-0.17</v>
      </c>
      <c r="D30">
        <v>7.0000000000000007E-2</v>
      </c>
      <c r="E30">
        <v>0.1</v>
      </c>
      <c r="G30" t="s">
        <v>79</v>
      </c>
      <c r="U30" t="s">
        <v>92</v>
      </c>
      <c r="V30" s="32">
        <f>ROUND(F17-IF(B17="S",$F$5,IF(B17="M",$F$6,$F$7)),2)</f>
        <v>-0.03</v>
      </c>
      <c r="W30" s="32">
        <f>ROUND(G17-IF(B17="S",$G$5,IF(B17="M",$G$6,$G$7)),2)</f>
        <v>0.6</v>
      </c>
      <c r="X30" s="32">
        <f>ROUND(H17-IF(B17="S",$H$5,IF(B17="M",$H$6,$H$7)),2)</f>
        <v>0.46</v>
      </c>
    </row>
    <row r="31" spans="1:24" x14ac:dyDescent="0.25">
      <c r="A31" t="s">
        <v>74</v>
      </c>
      <c r="B31" s="17" t="s">
        <v>47</v>
      </c>
      <c r="C31">
        <v>-0.27</v>
      </c>
      <c r="D31">
        <v>0.09</v>
      </c>
      <c r="E31">
        <v>0.1</v>
      </c>
      <c r="U31" t="s">
        <v>93</v>
      </c>
      <c r="V31" s="32">
        <f>ROUND(F18-IF(B18="S",$F$5,IF(B18="M",$F$6,$F$7)),2)</f>
        <v>-0.11</v>
      </c>
      <c r="W31" s="32">
        <f>ROUND(G18-IF(B18="S",$G$5,IF(B18="M",$G$6,$G$7)),2)</f>
        <v>0.61</v>
      </c>
      <c r="X31" s="32">
        <f>ROUND(H18-IF(B18="S",$H$5,IF(B18="M",$H$6,$H$7)),2)</f>
        <v>0.56999999999999995</v>
      </c>
    </row>
    <row r="32" spans="1:24" x14ac:dyDescent="0.25">
      <c r="A32" t="s">
        <v>50</v>
      </c>
      <c r="B32" s="17" t="s">
        <v>45</v>
      </c>
      <c r="C32">
        <v>0.18</v>
      </c>
      <c r="D32">
        <v>0.08</v>
      </c>
      <c r="E32">
        <v>0.12</v>
      </c>
      <c r="U32" t="s">
        <v>94</v>
      </c>
      <c r="V32" s="32">
        <f>ROUND(F19-IF(B19="S",$F$5,IF(B19="M",$F$6,$F$7)),2)</f>
        <v>-0.03</v>
      </c>
      <c r="W32" s="32">
        <f>ROUND(G19-IF(B19="S",$G$5,IF(B19="M",$G$6,$G$7)),2)</f>
        <v>0.56000000000000005</v>
      </c>
      <c r="X32" s="32">
        <f>ROUND(H19-IF(B19="S",$H$5,IF(B19="M",$H$6,$H$7)),2)</f>
        <v>0.54</v>
      </c>
    </row>
    <row r="33" spans="1:23" x14ac:dyDescent="0.25">
      <c r="A33" t="s">
        <v>50</v>
      </c>
      <c r="B33" s="17" t="s">
        <v>46</v>
      </c>
      <c r="C33">
        <v>-0.38</v>
      </c>
      <c r="D33">
        <v>0.27</v>
      </c>
      <c r="E33">
        <v>0.26</v>
      </c>
    </row>
    <row r="34" spans="1:23" x14ac:dyDescent="0.25">
      <c r="A34" t="s">
        <v>50</v>
      </c>
      <c r="B34" s="17" t="s">
        <v>47</v>
      </c>
      <c r="C34">
        <v>-0.4</v>
      </c>
      <c r="D34">
        <v>0.23</v>
      </c>
      <c r="E34">
        <v>0.19</v>
      </c>
    </row>
    <row r="35" spans="1:23" x14ac:dyDescent="0.25">
      <c r="A35" t="s">
        <v>84</v>
      </c>
      <c r="B35" s="17" t="s">
        <v>45</v>
      </c>
      <c r="C35">
        <v>-0.03</v>
      </c>
      <c r="D35">
        <v>0.6</v>
      </c>
      <c r="E35">
        <v>0.46</v>
      </c>
    </row>
    <row r="36" spans="1:23" x14ac:dyDescent="0.25">
      <c r="A36" t="s">
        <v>84</v>
      </c>
      <c r="B36" s="17" t="s">
        <v>46</v>
      </c>
      <c r="C36">
        <v>-0.11</v>
      </c>
      <c r="D36">
        <v>0.61</v>
      </c>
      <c r="E36">
        <v>0.56999999999999995</v>
      </c>
      <c r="T36" s="15" t="s">
        <v>48</v>
      </c>
      <c r="U36" s="15" t="s">
        <v>76</v>
      </c>
      <c r="V36" s="15" t="s">
        <v>77</v>
      </c>
      <c r="W36" s="15" t="s">
        <v>78</v>
      </c>
    </row>
    <row r="37" spans="1:23" x14ac:dyDescent="0.25">
      <c r="A37" t="s">
        <v>84</v>
      </c>
      <c r="B37" s="17" t="s">
        <v>47</v>
      </c>
      <c r="C37">
        <v>-0.03</v>
      </c>
      <c r="D37">
        <v>0.56000000000000005</v>
      </c>
      <c r="E37">
        <v>0.54</v>
      </c>
      <c r="T37" t="s">
        <v>85</v>
      </c>
      <c r="U37" s="3">
        <f>V21</f>
        <v>-0.14000000000000001</v>
      </c>
      <c r="V37" s="3">
        <f>V22</f>
        <v>-0.15</v>
      </c>
      <c r="W37" s="3">
        <f>V23</f>
        <v>-0.03</v>
      </c>
    </row>
    <row r="38" spans="1:23" x14ac:dyDescent="0.25">
      <c r="T38" t="s">
        <v>74</v>
      </c>
      <c r="U38" s="3">
        <f>V23</f>
        <v>-0.03</v>
      </c>
      <c r="V38" s="3">
        <f>V25</f>
        <v>-0.17</v>
      </c>
      <c r="W38" s="3">
        <f>V26</f>
        <v>-0.27</v>
      </c>
    </row>
    <row r="39" spans="1:23" x14ac:dyDescent="0.25">
      <c r="T39" t="s">
        <v>50</v>
      </c>
      <c r="U39" s="3">
        <f>V27</f>
        <v>0.18</v>
      </c>
      <c r="V39" s="3">
        <f>V28</f>
        <v>-0.38</v>
      </c>
      <c r="W39" s="3">
        <f>V29</f>
        <v>-0.4</v>
      </c>
    </row>
    <row r="40" spans="1:23" x14ac:dyDescent="0.25">
      <c r="T40" t="s">
        <v>84</v>
      </c>
      <c r="U40" s="3">
        <f>V30</f>
        <v>-0.03</v>
      </c>
      <c r="V40" s="3">
        <f>V31</f>
        <v>-0.11</v>
      </c>
      <c r="W40" s="3">
        <f>V32</f>
        <v>-0.03</v>
      </c>
    </row>
    <row r="41" spans="1:23" x14ac:dyDescent="0.25">
      <c r="V41" s="3"/>
    </row>
    <row r="43" spans="1:23" x14ac:dyDescent="0.25">
      <c r="T43" s="15" t="s">
        <v>48</v>
      </c>
      <c r="U43" s="15" t="s">
        <v>76</v>
      </c>
      <c r="V43" s="15" t="s">
        <v>77</v>
      </c>
      <c r="W43" s="15" t="s">
        <v>78</v>
      </c>
    </row>
    <row r="44" spans="1:23" x14ac:dyDescent="0.25">
      <c r="T44" t="s">
        <v>85</v>
      </c>
      <c r="U44" s="3">
        <f>W21</f>
        <v>0.77</v>
      </c>
      <c r="V44" s="3">
        <f>W22</f>
        <v>0.72</v>
      </c>
      <c r="W44" s="3">
        <f>W23</f>
        <v>0.55000000000000004</v>
      </c>
    </row>
    <row r="45" spans="1:23" x14ac:dyDescent="0.25">
      <c r="T45" t="s">
        <v>74</v>
      </c>
      <c r="U45" s="3">
        <f>W24</f>
        <v>0.16</v>
      </c>
      <c r="V45" s="3">
        <f>W25</f>
        <v>7.0000000000000007E-2</v>
      </c>
      <c r="W45" s="3">
        <f>W26</f>
        <v>0.09</v>
      </c>
    </row>
    <row r="46" spans="1:23" x14ac:dyDescent="0.25">
      <c r="T46" t="s">
        <v>50</v>
      </c>
      <c r="U46" s="3">
        <f>W27</f>
        <v>0.08</v>
      </c>
      <c r="V46" s="3">
        <f>W28</f>
        <v>0.27</v>
      </c>
      <c r="W46" s="3">
        <f>W29</f>
        <v>0.23</v>
      </c>
    </row>
    <row r="47" spans="1:23" x14ac:dyDescent="0.25">
      <c r="T47" t="s">
        <v>84</v>
      </c>
      <c r="U47" s="3">
        <f>W30</f>
        <v>0.6</v>
      </c>
      <c r="V47" s="3">
        <f>W31</f>
        <v>0.61</v>
      </c>
      <c r="W47" s="3">
        <f>W32</f>
        <v>0.56000000000000005</v>
      </c>
    </row>
    <row r="50" spans="20:23" x14ac:dyDescent="0.25">
      <c r="T50" s="15" t="s">
        <v>48</v>
      </c>
      <c r="U50" s="15" t="s">
        <v>76</v>
      </c>
      <c r="V50" s="15" t="s">
        <v>77</v>
      </c>
      <c r="W50" s="15" t="s">
        <v>78</v>
      </c>
    </row>
    <row r="51" spans="20:23" x14ac:dyDescent="0.25">
      <c r="T51" t="s">
        <v>85</v>
      </c>
      <c r="U51" s="3">
        <f>X21</f>
        <v>0.43</v>
      </c>
      <c r="V51" s="3">
        <f>X22</f>
        <v>0.61</v>
      </c>
      <c r="W51" s="3">
        <f>X23</f>
        <v>0.53</v>
      </c>
    </row>
    <row r="52" spans="20:23" x14ac:dyDescent="0.25">
      <c r="T52" t="s">
        <v>74</v>
      </c>
      <c r="U52" s="3">
        <f>X24</f>
        <v>0.2</v>
      </c>
      <c r="V52" s="3">
        <f>X25</f>
        <v>0.1</v>
      </c>
      <c r="W52" s="3">
        <f>X26</f>
        <v>0.1</v>
      </c>
    </row>
    <row r="53" spans="20:23" x14ac:dyDescent="0.25">
      <c r="T53" t="s">
        <v>50</v>
      </c>
      <c r="U53" s="3">
        <f>X27</f>
        <v>0.12</v>
      </c>
      <c r="V53" s="3">
        <f>X28</f>
        <v>0.26</v>
      </c>
      <c r="W53" s="3">
        <f>X29</f>
        <v>0.19</v>
      </c>
    </row>
    <row r="54" spans="20:23" x14ac:dyDescent="0.25">
      <c r="T54" t="s">
        <v>84</v>
      </c>
      <c r="U54" s="3">
        <f>X30</f>
        <v>0.46</v>
      </c>
      <c r="V54" s="3">
        <f>X31</f>
        <v>0.56999999999999995</v>
      </c>
      <c r="W54" s="3">
        <f>X32</f>
        <v>0.54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Zakresy nazwane</vt:lpstr>
      </vt:variant>
      <vt:variant>
        <vt:i4>15</vt:i4>
      </vt:variant>
    </vt:vector>
  </HeadingPairs>
  <TitlesOfParts>
    <vt:vector size="19" baseType="lpstr">
      <vt:lpstr>Wybrane obserwacje LROC NAC</vt:lpstr>
      <vt:lpstr>Obszar detekcji i skala</vt:lpstr>
      <vt:lpstr>Porównanie walidacji modeli</vt:lpstr>
      <vt:lpstr>Metryki na LQ w rozmiarach</vt:lpstr>
      <vt:lpstr>'Metryki na LQ w rozmiarach'!creater_sizes</vt:lpstr>
      <vt:lpstr>'Metryki na LQ w rozmiarach'!creater_sizes_1</vt:lpstr>
      <vt:lpstr>'Metryki na LQ w rozmiarach'!creater_sizes_10</vt:lpstr>
      <vt:lpstr>'Metryki na LQ w rozmiarach'!creater_sizes_11</vt:lpstr>
      <vt:lpstr>'Metryki na LQ w rozmiarach'!creater_sizes_12</vt:lpstr>
      <vt:lpstr>'Metryki na LQ w rozmiarach'!creater_sizes_13</vt:lpstr>
      <vt:lpstr>'Metryki na LQ w rozmiarach'!creater_sizes_14</vt:lpstr>
      <vt:lpstr>'Metryki na LQ w rozmiarach'!creater_sizes_2</vt:lpstr>
      <vt:lpstr>'Metryki na LQ w rozmiarach'!creater_sizes_3</vt:lpstr>
      <vt:lpstr>'Metryki na LQ w rozmiarach'!creater_sizes_4</vt:lpstr>
      <vt:lpstr>'Metryki na LQ w rozmiarach'!creater_sizes_5</vt:lpstr>
      <vt:lpstr>'Metryki na LQ w rozmiarach'!creater_sizes_6</vt:lpstr>
      <vt:lpstr>'Metryki na LQ w rozmiarach'!creater_sizes_7</vt:lpstr>
      <vt:lpstr>'Metryki na LQ w rozmiarach'!creater_sizes_8</vt:lpstr>
      <vt:lpstr>'Metryki na LQ w rozmiarach'!creater_sizes_9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wiktor.szczeszek99@gmail.com</dc:creator>
  <cp:lastModifiedBy>wiktor.szczeszek99@gmail.com</cp:lastModifiedBy>
  <dcterms:created xsi:type="dcterms:W3CDTF">2026-01-20T18:38:16Z</dcterms:created>
  <dcterms:modified xsi:type="dcterms:W3CDTF">2026-02-05T22:51:35Z</dcterms:modified>
</cp:coreProperties>
</file>